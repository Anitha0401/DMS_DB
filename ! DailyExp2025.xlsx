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ith\OneDrive\Accts\"/>
    </mc:Choice>
  </mc:AlternateContent>
  <xr:revisionPtr revIDLastSave="0" documentId="13_ncr:1_{8B645B0B-2F6F-4B59-B238-5B02681CFC7A}" xr6:coauthVersionLast="47" xr6:coauthVersionMax="47" xr10:uidLastSave="{00000000-0000-0000-0000-000000000000}"/>
  <bookViews>
    <workbookView xWindow="-108" yWindow="-108" windowWidth="23256" windowHeight="12456" tabRatio="689" firstSheet="3" activeTab="10" xr2:uid="{00000000-000D-0000-FFFF-FFFF00000000}"/>
  </bookViews>
  <sheets>
    <sheet name="Jan 25" sheetId="70" r:id="rId1"/>
    <sheet name="Feb 25" sheetId="71" r:id="rId2"/>
    <sheet name="Mar 25" sheetId="72" r:id="rId3"/>
    <sheet name="Apr 25" sheetId="73" r:id="rId4"/>
    <sheet name="May 25" sheetId="74" r:id="rId5"/>
    <sheet name="June 25" sheetId="75" r:id="rId6"/>
    <sheet name="July 25" sheetId="76" r:id="rId7"/>
    <sheet name="Aug 25" sheetId="77" r:id="rId8"/>
    <sheet name="Nov 25" sheetId="78" r:id="rId9"/>
    <sheet name="Dec 25" sheetId="79" r:id="rId10"/>
    <sheet name="Jan 26" sheetId="80" r:id="rId11"/>
    <sheet name="Acct Details" sheetId="68" r:id="rId12"/>
    <sheet name="LoanDetails" sheetId="2" r:id="rId13"/>
    <sheet name="Cbe House" sheetId="66" r:id="rId14"/>
  </sheets>
  <definedNames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80" l="1"/>
  <c r="G33" i="80"/>
  <c r="G32" i="80"/>
  <c r="G34" i="80" s="1"/>
  <c r="G28" i="80"/>
  <c r="C28" i="80"/>
  <c r="G22" i="80"/>
  <c r="C22" i="80"/>
  <c r="G18" i="80"/>
  <c r="C18" i="80"/>
  <c r="G13" i="80"/>
  <c r="C13" i="80"/>
  <c r="C30" i="80" s="1"/>
  <c r="H5" i="80"/>
  <c r="C35" i="79"/>
  <c r="G33" i="79"/>
  <c r="G32" i="79"/>
  <c r="G34" i="79" s="1"/>
  <c r="C30" i="79"/>
  <c r="G28" i="79"/>
  <c r="C28" i="79"/>
  <c r="G22" i="79"/>
  <c r="C22" i="79"/>
  <c r="G18" i="79"/>
  <c r="C18" i="79"/>
  <c r="G13" i="79"/>
  <c r="C13" i="79"/>
  <c r="H5" i="79"/>
  <c r="C35" i="78"/>
  <c r="G33" i="78"/>
  <c r="G32" i="78"/>
  <c r="G34" i="78" s="1"/>
  <c r="G28" i="78"/>
  <c r="C25" i="78"/>
  <c r="C28" i="78" s="1"/>
  <c r="C30" i="78" s="1"/>
  <c r="G22" i="78"/>
  <c r="C22" i="78"/>
  <c r="G18" i="78"/>
  <c r="C18" i="78"/>
  <c r="G13" i="78"/>
  <c r="C13" i="78"/>
  <c r="H5" i="78"/>
  <c r="G30" i="80" l="1"/>
  <c r="C36" i="80" s="1"/>
  <c r="C38" i="80" s="1"/>
  <c r="G30" i="79"/>
  <c r="C36" i="79" s="1"/>
  <c r="C38" i="79" s="1"/>
  <c r="G30" i="78"/>
  <c r="C36" i="78" s="1"/>
  <c r="C38" i="78" s="1"/>
  <c r="C34" i="77" l="1"/>
  <c r="G32" i="77"/>
  <c r="G31" i="77"/>
  <c r="G33" i="77" s="1"/>
  <c r="G27" i="77"/>
  <c r="C25" i="77"/>
  <c r="C27" i="77" s="1"/>
  <c r="C29" i="77" s="1"/>
  <c r="G22" i="77"/>
  <c r="C22" i="77"/>
  <c r="G18" i="77"/>
  <c r="C18" i="77"/>
  <c r="G13" i="77"/>
  <c r="C13" i="77"/>
  <c r="H5" i="77"/>
  <c r="C25" i="76"/>
  <c r="C27" i="76" s="1"/>
  <c r="G18" i="76"/>
  <c r="C18" i="76"/>
  <c r="C34" i="76"/>
  <c r="G32" i="76"/>
  <c r="G31" i="76"/>
  <c r="G33" i="76" s="1"/>
  <c r="G27" i="76"/>
  <c r="G22" i="76"/>
  <c r="C22" i="76"/>
  <c r="G13" i="76"/>
  <c r="C13" i="76"/>
  <c r="H5" i="76"/>
  <c r="K18" i="66"/>
  <c r="O16" i="66" s="1"/>
  <c r="O19" i="66"/>
  <c r="C35" i="75"/>
  <c r="G34" i="75"/>
  <c r="G33" i="75"/>
  <c r="G32" i="75"/>
  <c r="C30" i="75"/>
  <c r="G28" i="75"/>
  <c r="C28" i="75"/>
  <c r="G23" i="75"/>
  <c r="C23" i="75"/>
  <c r="G19" i="75"/>
  <c r="C19" i="75"/>
  <c r="G14" i="75"/>
  <c r="C14" i="75"/>
  <c r="H6" i="75"/>
  <c r="H62" i="66"/>
  <c r="K19" i="66" s="1"/>
  <c r="K14" i="66"/>
  <c r="L14" i="66" s="1"/>
  <c r="K15" i="66"/>
  <c r="C35" i="74"/>
  <c r="G33" i="74"/>
  <c r="G32" i="74"/>
  <c r="G28" i="74"/>
  <c r="C28" i="74"/>
  <c r="G23" i="74"/>
  <c r="C23" i="74"/>
  <c r="G19" i="74"/>
  <c r="C19" i="74"/>
  <c r="G14" i="74"/>
  <c r="C14" i="74"/>
  <c r="C30" i="74" s="1"/>
  <c r="H6" i="74"/>
  <c r="Q16" i="2"/>
  <c r="C35" i="73"/>
  <c r="G33" i="73"/>
  <c r="G32" i="73"/>
  <c r="G34" i="73" s="1"/>
  <c r="G28" i="73"/>
  <c r="C28" i="73"/>
  <c r="G23" i="73"/>
  <c r="C23" i="73"/>
  <c r="G19" i="73"/>
  <c r="C19" i="73"/>
  <c r="G14" i="73"/>
  <c r="C14" i="73"/>
  <c r="C30" i="73" s="1"/>
  <c r="H6" i="73"/>
  <c r="G29" i="77" l="1"/>
  <c r="C35" i="77" s="1"/>
  <c r="C37" i="77" s="1"/>
  <c r="C29" i="76"/>
  <c r="G29" i="76"/>
  <c r="C35" i="76" s="1"/>
  <c r="C37" i="76" s="1"/>
  <c r="G30" i="75"/>
  <c r="C36" i="75" s="1"/>
  <c r="C38" i="75" s="1"/>
  <c r="O17" i="66"/>
  <c r="G30" i="74"/>
  <c r="C36" i="74" s="1"/>
  <c r="C38" i="74" s="1"/>
  <c r="G34" i="74"/>
  <c r="G30" i="73"/>
  <c r="C36" i="73" s="1"/>
  <c r="C38" i="73" s="1"/>
  <c r="H23" i="66"/>
  <c r="K17" i="66" s="1"/>
  <c r="C34" i="72"/>
  <c r="G32" i="72"/>
  <c r="G31" i="72"/>
  <c r="G33" i="72" s="1"/>
  <c r="G27" i="72"/>
  <c r="C27" i="72"/>
  <c r="G22" i="72"/>
  <c r="C22" i="72"/>
  <c r="G18" i="72"/>
  <c r="C18" i="72"/>
  <c r="C29" i="72" s="1"/>
  <c r="G13" i="72"/>
  <c r="C13" i="72"/>
  <c r="H6" i="72"/>
  <c r="C35" i="71"/>
  <c r="G33" i="71"/>
  <c r="G32" i="71"/>
  <c r="G34" i="71" s="1"/>
  <c r="G28" i="71"/>
  <c r="C28" i="71"/>
  <c r="G23" i="71"/>
  <c r="C23" i="71"/>
  <c r="G19" i="71"/>
  <c r="C19" i="71"/>
  <c r="C30" i="71" s="1"/>
  <c r="G13" i="71"/>
  <c r="C13" i="71"/>
  <c r="H6" i="71"/>
  <c r="T9" i="2"/>
  <c r="T3" i="2"/>
  <c r="R7" i="66"/>
  <c r="C35" i="70"/>
  <c r="G33" i="70"/>
  <c r="G32" i="70"/>
  <c r="G28" i="70"/>
  <c r="C28" i="70"/>
  <c r="G23" i="70"/>
  <c r="C23" i="70"/>
  <c r="G19" i="70"/>
  <c r="C19" i="70"/>
  <c r="G13" i="70"/>
  <c r="C13" i="70"/>
  <c r="H6" i="70"/>
  <c r="K16" i="2"/>
  <c r="K11" i="66"/>
  <c r="O20" i="66" s="1"/>
  <c r="Q30" i="2"/>
  <c r="Q34" i="2" s="1"/>
  <c r="D41" i="66"/>
  <c r="D20" i="66"/>
  <c r="D24" i="66" s="1"/>
  <c r="O22" i="66" s="1"/>
  <c r="O15" i="66"/>
  <c r="P26" i="2"/>
  <c r="P30" i="2" s="1"/>
  <c r="T27" i="2"/>
  <c r="T18" i="2"/>
  <c r="T17" i="2"/>
  <c r="T16" i="2"/>
  <c r="T15" i="2"/>
  <c r="T14" i="2"/>
  <c r="T13" i="2"/>
  <c r="T12" i="2"/>
  <c r="T11" i="2"/>
  <c r="T10" i="2"/>
  <c r="T8" i="2"/>
  <c r="T7" i="2"/>
  <c r="T6" i="2"/>
  <c r="T5" i="2"/>
  <c r="T4" i="2"/>
  <c r="T2" i="2"/>
  <c r="X10" i="2"/>
  <c r="Q17" i="2"/>
  <c r="D12" i="2"/>
  <c r="AC27" i="2"/>
  <c r="AC26" i="2"/>
  <c r="Z26" i="2"/>
  <c r="Z28" i="2" s="1"/>
  <c r="K22" i="2"/>
  <c r="K23" i="2" s="1"/>
  <c r="AC2" i="2"/>
  <c r="Z2" i="2"/>
  <c r="H81" i="66" l="1"/>
  <c r="C1" i="66" s="1"/>
  <c r="G29" i="72"/>
  <c r="C35" i="72" s="1"/>
  <c r="C37" i="72" s="1"/>
  <c r="G30" i="71"/>
  <c r="C36" i="71" s="1"/>
  <c r="C38" i="71" s="1"/>
  <c r="G34" i="70"/>
  <c r="C30" i="70"/>
  <c r="Q18" i="2"/>
  <c r="G30" i="70"/>
  <c r="C36" i="70" s="1"/>
  <c r="C38" i="70" s="1"/>
  <c r="T26" i="2"/>
  <c r="T28" i="2" s="1"/>
  <c r="AC28" i="2"/>
</calcChain>
</file>

<file path=xl/sharedStrings.xml><?xml version="1.0" encoding="utf-8"?>
<sst xmlns="http://schemas.openxmlformats.org/spreadsheetml/2006/main" count="1080" uniqueCount="273">
  <si>
    <t>Regular Exp</t>
  </si>
  <si>
    <t>Groceries</t>
  </si>
  <si>
    <t>Milk &amp; NewsPap</t>
  </si>
  <si>
    <t>Milk&amp;NewsPap</t>
  </si>
  <si>
    <t>Veg&amp;NonVeg</t>
  </si>
  <si>
    <t>Petrol</t>
  </si>
  <si>
    <t>Medical</t>
  </si>
  <si>
    <t xml:space="preserve"> </t>
  </si>
  <si>
    <t>MiscExp</t>
  </si>
  <si>
    <t>Maid</t>
  </si>
  <si>
    <t>EB</t>
  </si>
  <si>
    <t>Total</t>
  </si>
  <si>
    <t>Savings</t>
  </si>
  <si>
    <t>RD</t>
  </si>
  <si>
    <t>Chit</t>
  </si>
  <si>
    <t>LIC EMI</t>
  </si>
  <si>
    <t>Phone Bills</t>
  </si>
  <si>
    <t>Vigram VF</t>
  </si>
  <si>
    <t>Loans</t>
  </si>
  <si>
    <t>Credit Cards</t>
  </si>
  <si>
    <t>TOTAL</t>
  </si>
  <si>
    <t>Ani ICICI</t>
  </si>
  <si>
    <t>Anitha Sal</t>
  </si>
  <si>
    <t>Vig ICICI</t>
  </si>
  <si>
    <t>Vigram Sal</t>
  </si>
  <si>
    <t>Rent</t>
  </si>
  <si>
    <t>Cash</t>
  </si>
  <si>
    <t>Total Income</t>
  </si>
  <si>
    <t>Total Expense</t>
  </si>
  <si>
    <t>Classes</t>
  </si>
  <si>
    <t>Diwali Sheet</t>
  </si>
  <si>
    <t>DiwaliSheet</t>
  </si>
  <si>
    <t>Paid</t>
  </si>
  <si>
    <t>Anitha</t>
  </si>
  <si>
    <t>Vigram</t>
  </si>
  <si>
    <t>SBI</t>
  </si>
  <si>
    <t>Remaining</t>
  </si>
  <si>
    <t>Premiums to be Paid</t>
  </si>
  <si>
    <t>Plan Name</t>
  </si>
  <si>
    <t>Sum Assured</t>
  </si>
  <si>
    <t>EMI</t>
  </si>
  <si>
    <t>Started on</t>
  </si>
  <si>
    <t>Ends on</t>
  </si>
  <si>
    <t>To</t>
  </si>
  <si>
    <t>Amt</t>
  </si>
  <si>
    <t>Due Date</t>
  </si>
  <si>
    <t>malligal</t>
  </si>
  <si>
    <t>LIC - Jeevan Anand (Plan-149)</t>
  </si>
  <si>
    <t>Vigram Kannan</t>
  </si>
  <si>
    <t>New Bima Gold</t>
  </si>
  <si>
    <t>malligarajan</t>
  </si>
  <si>
    <t>LIC - New Bima Gold (Plan-179)</t>
  </si>
  <si>
    <t>Anitha Raj</t>
  </si>
  <si>
    <t>Child Career - VAD 1</t>
  </si>
  <si>
    <t>Ujjivan</t>
  </si>
  <si>
    <t>LIC - Child Career (Plan-184)</t>
  </si>
  <si>
    <t>V.A Dheepaesh</t>
  </si>
  <si>
    <t>Child Career - VAD 2</t>
  </si>
  <si>
    <t>anitha</t>
  </si>
  <si>
    <t>Daaniya V.A</t>
  </si>
  <si>
    <t>Jeevan Anand</t>
  </si>
  <si>
    <t>SBI Retriement Plan</t>
  </si>
  <si>
    <t>Max NewYork</t>
  </si>
  <si>
    <t>Star Health Ins</t>
  </si>
  <si>
    <t>vigram1979</t>
  </si>
  <si>
    <t>2 Wheeler Insure</t>
  </si>
  <si>
    <t>SBI Life</t>
  </si>
  <si>
    <t>vigramanitha</t>
  </si>
  <si>
    <t>2 Wheeler Insure - TPT</t>
  </si>
  <si>
    <t>Car Insurance</t>
  </si>
  <si>
    <t>GodMoney</t>
  </si>
  <si>
    <t>daaniya school</t>
  </si>
  <si>
    <t>vigram , Vad@261012</t>
  </si>
  <si>
    <t>C230463, 230465, 230464</t>
  </si>
  <si>
    <t>TN/MAS/0053796/000/0011312</t>
  </si>
  <si>
    <t>UAN</t>
  </si>
  <si>
    <t>101854459492</t>
  </si>
  <si>
    <t>Diwali Chit (2100)</t>
  </si>
  <si>
    <t>Anitha - 2</t>
  </si>
  <si>
    <t>to Receive</t>
  </si>
  <si>
    <t>TPT</t>
  </si>
  <si>
    <t xml:space="preserve">   </t>
  </si>
  <si>
    <t>Max Life Insurance
Max Life Level Term to age 60 Plan</t>
  </si>
  <si>
    <t>1H713785710</t>
  </si>
  <si>
    <t>SBI LIFE - Retire Smart - Advantage Plan LP</t>
  </si>
  <si>
    <t>101924365590</t>
  </si>
  <si>
    <t>PY/BOM/00113941752513</t>
  </si>
  <si>
    <t>Amount</t>
  </si>
  <si>
    <t>Blr House Sale</t>
  </si>
  <si>
    <t>Payment Mode</t>
  </si>
  <si>
    <t>Date</t>
  </si>
  <si>
    <t>Vigram Gpay</t>
  </si>
  <si>
    <t>Vigram  - DD</t>
  </si>
  <si>
    <t>Anitha - DD</t>
  </si>
  <si>
    <t>Home Loan</t>
  </si>
  <si>
    <t>Mom</t>
  </si>
  <si>
    <t>Donation</t>
  </si>
  <si>
    <t xml:space="preserve">Date </t>
  </si>
  <si>
    <t>Gayathri (Blr)</t>
  </si>
  <si>
    <t>Kvraman@1979</t>
  </si>
  <si>
    <t>Kvraman@79</t>
  </si>
  <si>
    <t>Danyadeep2012</t>
  </si>
  <si>
    <t>Vigram - DD</t>
  </si>
  <si>
    <t>Danyadeep@2012</t>
  </si>
  <si>
    <t>swathihariiniya</t>
  </si>
  <si>
    <t>Vad@220708</t>
  </si>
  <si>
    <t>Swathi</t>
  </si>
  <si>
    <t>SBI Ani</t>
  </si>
  <si>
    <t>Savitha</t>
  </si>
  <si>
    <t>Ani Icici</t>
  </si>
  <si>
    <t>Car Loan</t>
  </si>
  <si>
    <t>Akash(Plr)</t>
  </si>
  <si>
    <t>Swathi Icici</t>
  </si>
  <si>
    <t>Car Loan No - 7781324913 - open on May 24. emi start - July 2024</t>
  </si>
  <si>
    <t>Rathna Cook</t>
  </si>
  <si>
    <t>Vig Indian</t>
  </si>
  <si>
    <t>IT Return</t>
  </si>
  <si>
    <t>Danyadeep@2012 / Vad@220708</t>
  </si>
  <si>
    <t>01/25   268</t>
  </si>
  <si>
    <t>Mom Ujiv</t>
  </si>
  <si>
    <t>Selvi Aunty Student (medical)</t>
  </si>
  <si>
    <t>2 Lakhs (July24)</t>
  </si>
  <si>
    <t>Advance</t>
  </si>
  <si>
    <t>Teak Tree Cutting</t>
  </si>
  <si>
    <t>Purpose</t>
  </si>
  <si>
    <t>Registration</t>
  </si>
  <si>
    <t>Commission</t>
  </si>
  <si>
    <t>Building</t>
  </si>
  <si>
    <t>Other</t>
  </si>
  <si>
    <t>Solar</t>
  </si>
  <si>
    <t>Safety Gate</t>
  </si>
  <si>
    <t>Mosquito Net</t>
  </si>
  <si>
    <t>Top Room</t>
  </si>
  <si>
    <t>In Hand</t>
  </si>
  <si>
    <t>Automatic Motor</t>
  </si>
  <si>
    <t>Legal &amp; Engineer fees</t>
  </si>
  <si>
    <t>Transfer To</t>
  </si>
  <si>
    <t>To Prahalladh</t>
  </si>
  <si>
    <t>Building Cost</t>
  </si>
  <si>
    <t>Swathi ICICI</t>
  </si>
  <si>
    <t>PF Account Details</t>
  </si>
  <si>
    <t>Name</t>
  </si>
  <si>
    <t>Account Number</t>
  </si>
  <si>
    <t>Bank Account Details</t>
  </si>
  <si>
    <t>Customer Id</t>
  </si>
  <si>
    <t>IFSC Code</t>
  </si>
  <si>
    <t>Bank Name</t>
  </si>
  <si>
    <t xml:space="preserve">Anitha </t>
  </si>
  <si>
    <t xml:space="preserve">ICICI </t>
  </si>
  <si>
    <t>Indian Bank</t>
  </si>
  <si>
    <t>Malliga</t>
  </si>
  <si>
    <t>IDIB000C114</t>
  </si>
  <si>
    <t>00000033524183176</t>
  </si>
  <si>
    <t>Card Details</t>
  </si>
  <si>
    <t>UserName</t>
  </si>
  <si>
    <t>Password</t>
  </si>
  <si>
    <t>Citi CC</t>
  </si>
  <si>
    <t>SBI CC</t>
  </si>
  <si>
    <t>vigram</t>
  </si>
  <si>
    <t>LIC</t>
  </si>
  <si>
    <t>Stamp Duty</t>
  </si>
  <si>
    <t>To DD</t>
  </si>
  <si>
    <t>Cash Withdraw</t>
  </si>
  <si>
    <t>Transfer</t>
  </si>
  <si>
    <t>Shameena</t>
  </si>
  <si>
    <t>Amirthavalli</t>
  </si>
  <si>
    <t>Prahalladh</t>
  </si>
  <si>
    <t>DD</t>
  </si>
  <si>
    <t>Kaveri</t>
  </si>
  <si>
    <t>Mom FD</t>
  </si>
  <si>
    <t>Bank</t>
  </si>
  <si>
    <t xml:space="preserve">MM Pazhamudir </t>
  </si>
  <si>
    <t>In Hand Reman</t>
  </si>
  <si>
    <t>Bank Remaining</t>
  </si>
  <si>
    <t>Balance</t>
  </si>
  <si>
    <t>Bank Given Details</t>
  </si>
  <si>
    <t>Mode</t>
  </si>
  <si>
    <t>MOD</t>
  </si>
  <si>
    <t>Builder Details</t>
  </si>
  <si>
    <t>Other Expense Details</t>
  </si>
  <si>
    <t>2X388582804</t>
  </si>
  <si>
    <t>SBI Smart Plantina Plus</t>
  </si>
  <si>
    <t>Trfer</t>
  </si>
  <si>
    <t>Home Loan - Indian Bank - 23-Oct-2024</t>
  </si>
  <si>
    <t>Thirumoorthy</t>
  </si>
  <si>
    <t>Icici Prudential</t>
  </si>
  <si>
    <t>K2464345</t>
  </si>
  <si>
    <t>ICICI Prudential</t>
  </si>
  <si>
    <t>Locker - ICICI Bank - Vilankurichi Branch - RO1 26</t>
  </si>
  <si>
    <t>Ani Indian</t>
  </si>
  <si>
    <t>Teak work</t>
  </si>
  <si>
    <t>Teak Tree Transport</t>
  </si>
  <si>
    <t>Actual - Jan-25</t>
  </si>
  <si>
    <t>Carpenter Transport</t>
  </si>
  <si>
    <t>Patta Transfer</t>
  </si>
  <si>
    <t>SBI LIFE - Smart Platina Plus - Life Income</t>
  </si>
  <si>
    <t xml:space="preserve"> To do - Jan - 25</t>
  </si>
  <si>
    <t>Carpenter Advance</t>
  </si>
  <si>
    <t>Star saw mill</t>
  </si>
  <si>
    <t>`</t>
  </si>
  <si>
    <t>Actual - Feb -25</t>
  </si>
  <si>
    <t xml:space="preserve"> To do - Feb - 25</t>
  </si>
  <si>
    <t>swathi</t>
  </si>
  <si>
    <t>Ilaippu</t>
  </si>
  <si>
    <t>https://www.dropbox.com/scl/fi/7lr9x7bd6nwh5dnek972u/A.M-Accounts.xlsx?rlkey=xpy43xrkzmr0vs8to1rmxz51c&amp;st=xx5y189c&amp;dl=0</t>
  </si>
  <si>
    <t>Carpenter Material</t>
  </si>
  <si>
    <t>Carpenter</t>
  </si>
  <si>
    <t>Grill</t>
  </si>
  <si>
    <t xml:space="preserve"> To do - Mar - 25</t>
  </si>
  <si>
    <t>Actual - Mar -25</t>
  </si>
  <si>
    <t>Teak Transport</t>
  </si>
  <si>
    <t>Nila Pooja</t>
  </si>
  <si>
    <t>Carpenter - Trichy</t>
  </si>
  <si>
    <t>Actual - Apr -25</t>
  </si>
  <si>
    <t xml:space="preserve"> To do - Apr - 25</t>
  </si>
  <si>
    <t>Vigram Frd Daughter</t>
  </si>
  <si>
    <t>Actual - May -25</t>
  </si>
  <si>
    <t xml:space="preserve"> To do - May - 25</t>
  </si>
  <si>
    <t>Interior</t>
  </si>
  <si>
    <t>Door Fittings</t>
  </si>
  <si>
    <t>Door Handle</t>
  </si>
  <si>
    <t>Window Glass</t>
  </si>
  <si>
    <t>Beeding</t>
  </si>
  <si>
    <t>Screw Nails</t>
  </si>
  <si>
    <t>Door + Window</t>
  </si>
  <si>
    <t>Chimney</t>
  </si>
  <si>
    <t>Bathroom fittings</t>
  </si>
  <si>
    <t>Mural Art</t>
  </si>
  <si>
    <t>Modular + Interior</t>
  </si>
  <si>
    <t>Iyer</t>
  </si>
  <si>
    <t>Gas Line</t>
  </si>
  <si>
    <t>Electrical</t>
  </si>
  <si>
    <t>Aldrop</t>
  </si>
  <si>
    <t>Fans</t>
  </si>
  <si>
    <t>Panthal</t>
  </si>
  <si>
    <t>Samiyana</t>
  </si>
  <si>
    <t>Food</t>
  </si>
  <si>
    <t>Sweet</t>
  </si>
  <si>
    <t>R.Gift</t>
  </si>
  <si>
    <t>Flower</t>
  </si>
  <si>
    <t>Fittings tab</t>
  </si>
  <si>
    <t>Rain water filter</t>
  </si>
  <si>
    <t>Actual - June -25</t>
  </si>
  <si>
    <t xml:space="preserve"> To do - June - 25</t>
  </si>
  <si>
    <t>Total Cost</t>
  </si>
  <si>
    <t>Carpenter-Trichy</t>
  </si>
  <si>
    <t>Vad@261012 / Vad@220708</t>
  </si>
  <si>
    <t xml:space="preserve">              </t>
  </si>
  <si>
    <t>Actual - July -25</t>
  </si>
  <si>
    <t xml:space="preserve"> To do - July - 25</t>
  </si>
  <si>
    <t>Education</t>
  </si>
  <si>
    <t>ICICI Pru Iprotect Smart</t>
  </si>
  <si>
    <t>A0599547 (Y)</t>
  </si>
  <si>
    <t>Actual - Aug -25</t>
  </si>
  <si>
    <t xml:space="preserve"> To do - Aug - 25</t>
  </si>
  <si>
    <t>Star Health Insurance</t>
  </si>
  <si>
    <t>P/700004/01/2025/006136</t>
  </si>
  <si>
    <t>8831162600010965</t>
  </si>
  <si>
    <t>Vad@220708 / Vad@040183</t>
  </si>
  <si>
    <t>VAD1/VAD2/ani</t>
  </si>
  <si>
    <t>e-Insurance Account No.: 2000022761801</t>
  </si>
  <si>
    <t>Vad@12070904</t>
  </si>
  <si>
    <t>Actual - Nov -25</t>
  </si>
  <si>
    <t xml:space="preserve"> To do - Nov - 25</t>
  </si>
  <si>
    <t>Ploan</t>
  </si>
  <si>
    <t xml:space="preserve"> To do - Dec - 25</t>
  </si>
  <si>
    <t>Actual - Dec -25</t>
  </si>
  <si>
    <t>Daaniya - 4176 3070 655</t>
  </si>
  <si>
    <t>Dheepaesh - 4176 2944 221</t>
  </si>
  <si>
    <t>SBI Account</t>
  </si>
  <si>
    <t>Vad@830104</t>
  </si>
  <si>
    <t>Actual - Jan  -26</t>
  </si>
  <si>
    <t xml:space="preserve"> To do - Jan - 26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</si>
</sst>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4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4"/>
      <color theme="1"/>
      <name val="Calibri"/>
      <family val="2"/>
      <scheme val="minor"/>
    </font>
    <font>
      <sz val="4"/>
      <color theme="0"/>
      <name val="Calibri"/>
      <family val="2"/>
      <scheme val="minor"/>
    </font>
    <font>
      <sz val="8"/>
      <name val="Calibri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FF0000"/>
      <name val="Calibri"/>
      <family val="2"/>
    </font>
    <font>
      <b/>
      <sz val="9"/>
      <color theme="1"/>
      <name val="Calibri"/>
      <family val="2"/>
    </font>
    <font>
      <b/>
      <sz val="11"/>
      <color rgb="FF0070C0"/>
      <name val="Calibri"/>
      <family val="2"/>
      <scheme val="minor"/>
    </font>
    <font>
      <b/>
      <sz val="8"/>
      <name val="Calibri"/>
      <family val="2"/>
    </font>
    <font>
      <sz val="8"/>
      <color indexed="10"/>
      <name val="Calibri"/>
      <family val="2"/>
    </font>
    <font>
      <sz val="10"/>
      <name val="Segoe UI"/>
      <family val="2"/>
    </font>
    <font>
      <b/>
      <sz val="10"/>
      <color indexed="12"/>
      <name val="Segoe UI"/>
      <family val="2"/>
    </font>
    <font>
      <sz val="10"/>
      <color indexed="12"/>
      <name val="Segoe UI"/>
      <family val="2"/>
    </font>
    <font>
      <b/>
      <sz val="10"/>
      <color indexed="18"/>
      <name val="Segoe UI"/>
      <family val="2"/>
    </font>
    <font>
      <b/>
      <sz val="10"/>
      <color indexed="53"/>
      <name val="Segoe UI"/>
      <family val="2"/>
    </font>
    <font>
      <sz val="10"/>
      <color indexed="53"/>
      <name val="Segoe UI"/>
      <family val="2"/>
    </font>
    <font>
      <b/>
      <sz val="10"/>
      <color indexed="10"/>
      <name val="Segoe UI"/>
      <family val="2"/>
    </font>
    <font>
      <sz val="10"/>
      <color indexed="10"/>
      <name val="Segoe UI"/>
      <family val="2"/>
    </font>
    <font>
      <sz val="10"/>
      <color indexed="18"/>
      <name val="Segoe UI"/>
      <family val="2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b/>
      <sz val="10"/>
      <color rgb="FF002060"/>
      <name val="Segoe UI"/>
      <family val="2"/>
    </font>
    <font>
      <b/>
      <sz val="10"/>
      <color theme="1"/>
      <name val="Segoe UI"/>
      <family val="2"/>
    </font>
    <font>
      <u/>
      <sz val="11"/>
      <color theme="10"/>
      <name val="Calibri"/>
      <charset val="134"/>
      <scheme val="minor"/>
    </font>
    <font>
      <u/>
      <sz val="8"/>
      <color theme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8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8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medium">
        <color theme="1" tint="0.34998626667073579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</borders>
  <cellStyleXfs count="5">
    <xf numFmtId="0" fontId="0" fillId="0" borderId="0"/>
    <xf numFmtId="0" fontId="16" fillId="0" borderId="0"/>
    <xf numFmtId="0" fontId="8" fillId="0" borderId="0"/>
    <xf numFmtId="0" fontId="17" fillId="0" borderId="0"/>
    <xf numFmtId="0" fontId="42" fillId="0" borderId="0" applyNumberFormat="0" applyFill="0" applyBorder="0" applyAlignment="0" applyProtection="0"/>
  </cellStyleXfs>
  <cellXfs count="208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5" fillId="0" borderId="0" xfId="0" applyFont="1"/>
    <xf numFmtId="3" fontId="0" fillId="0" borderId="0" xfId="0" applyNumberFormat="1"/>
    <xf numFmtId="0" fontId="20" fillId="5" borderId="16" xfId="0" applyFont="1" applyFill="1" applyBorder="1"/>
    <xf numFmtId="0" fontId="20" fillId="5" borderId="17" xfId="0" applyFont="1" applyFill="1" applyBorder="1"/>
    <xf numFmtId="15" fontId="20" fillId="5" borderId="17" xfId="0" applyNumberFormat="1" applyFont="1" applyFill="1" applyBorder="1"/>
    <xf numFmtId="15" fontId="20" fillId="5" borderId="18" xfId="0" applyNumberFormat="1" applyFont="1" applyFill="1" applyBorder="1"/>
    <xf numFmtId="0" fontId="20" fillId="5" borderId="7" xfId="0" applyFont="1" applyFill="1" applyBorder="1"/>
    <xf numFmtId="0" fontId="20" fillId="5" borderId="8" xfId="0" applyFont="1" applyFill="1" applyBorder="1"/>
    <xf numFmtId="15" fontId="20" fillId="5" borderId="8" xfId="0" applyNumberFormat="1" applyFont="1" applyFill="1" applyBorder="1"/>
    <xf numFmtId="15" fontId="20" fillId="5" borderId="9" xfId="0" applyNumberFormat="1" applyFont="1" applyFill="1" applyBorder="1"/>
    <xf numFmtId="0" fontId="20" fillId="6" borderId="10" xfId="0" applyFont="1" applyFill="1" applyBorder="1"/>
    <xf numFmtId="0" fontId="20" fillId="6" borderId="11" xfId="0" applyFont="1" applyFill="1" applyBorder="1"/>
    <xf numFmtId="15" fontId="20" fillId="6" borderId="11" xfId="0" applyNumberFormat="1" applyFont="1" applyFill="1" applyBorder="1"/>
    <xf numFmtId="15" fontId="20" fillId="6" borderId="12" xfId="0" applyNumberFormat="1" applyFont="1" applyFill="1" applyBorder="1"/>
    <xf numFmtId="0" fontId="20" fillId="7" borderId="16" xfId="0" applyFont="1" applyFill="1" applyBorder="1"/>
    <xf numFmtId="0" fontId="20" fillId="7" borderId="17" xfId="0" applyFont="1" applyFill="1" applyBorder="1"/>
    <xf numFmtId="15" fontId="20" fillId="7" borderId="17" xfId="0" applyNumberFormat="1" applyFont="1" applyFill="1" applyBorder="1"/>
    <xf numFmtId="15" fontId="20" fillId="7" borderId="18" xfId="0" applyNumberFormat="1" applyFont="1" applyFill="1" applyBorder="1"/>
    <xf numFmtId="0" fontId="20" fillId="8" borderId="7" xfId="0" applyFont="1" applyFill="1" applyBorder="1"/>
    <xf numFmtId="0" fontId="20" fillId="8" borderId="8" xfId="0" applyFont="1" applyFill="1" applyBorder="1"/>
    <xf numFmtId="164" fontId="20" fillId="8" borderId="8" xfId="0" applyNumberFormat="1" applyFont="1" applyFill="1" applyBorder="1"/>
    <xf numFmtId="164" fontId="20" fillId="8" borderId="9" xfId="0" applyNumberFormat="1" applyFont="1" applyFill="1" applyBorder="1"/>
    <xf numFmtId="0" fontId="20" fillId="9" borderId="7" xfId="0" applyFont="1" applyFill="1" applyBorder="1"/>
    <xf numFmtId="0" fontId="20" fillId="9" borderId="8" xfId="0" applyFont="1" applyFill="1" applyBorder="1"/>
    <xf numFmtId="15" fontId="20" fillId="9" borderId="8" xfId="0" applyNumberFormat="1" applyFont="1" applyFill="1" applyBorder="1"/>
    <xf numFmtId="15" fontId="20" fillId="9" borderId="9" xfId="0" applyNumberFormat="1" applyFont="1" applyFill="1" applyBorder="1"/>
    <xf numFmtId="0" fontId="20" fillId="9" borderId="10" xfId="0" applyFont="1" applyFill="1" applyBorder="1"/>
    <xf numFmtId="0" fontId="20" fillId="9" borderId="11" xfId="0" applyFont="1" applyFill="1" applyBorder="1"/>
    <xf numFmtId="164" fontId="20" fillId="9" borderId="11" xfId="0" applyNumberFormat="1" applyFont="1" applyFill="1" applyBorder="1"/>
    <xf numFmtId="164" fontId="20" fillId="9" borderId="12" xfId="0" applyNumberFormat="1" applyFont="1" applyFill="1" applyBorder="1"/>
    <xf numFmtId="0" fontId="21" fillId="0" borderId="4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21" fillId="0" borderId="6" xfId="0" applyFont="1" applyBorder="1" applyAlignment="1">
      <alignment horizontal="left"/>
    </xf>
    <xf numFmtId="0" fontId="22" fillId="0" borderId="7" xfId="0" applyFont="1" applyBorder="1" applyAlignment="1">
      <alignment vertical="top" wrapText="1"/>
    </xf>
    <xf numFmtId="0" fontId="22" fillId="0" borderId="8" xfId="0" applyFont="1" applyBorder="1"/>
    <xf numFmtId="17" fontId="22" fillId="0" borderId="8" xfId="0" applyNumberFormat="1" applyFont="1" applyBorder="1"/>
    <xf numFmtId="0" fontId="11" fillId="0" borderId="9" xfId="0" applyFont="1" applyBorder="1"/>
    <xf numFmtId="0" fontId="22" fillId="0" borderId="7" xfId="0" applyFont="1" applyBorder="1" applyAlignment="1">
      <alignment wrapText="1"/>
    </xf>
    <xf numFmtId="0" fontId="22" fillId="0" borderId="7" xfId="0" applyFont="1" applyBorder="1"/>
    <xf numFmtId="0" fontId="11" fillId="0" borderId="9" xfId="0" applyFont="1" applyBorder="1" applyAlignment="1">
      <alignment horizontal="right"/>
    </xf>
    <xf numFmtId="0" fontId="22" fillId="0" borderId="10" xfId="0" applyFont="1" applyBorder="1" applyAlignment="1">
      <alignment wrapText="1"/>
    </xf>
    <xf numFmtId="0" fontId="22" fillId="0" borderId="11" xfId="0" applyFont="1" applyBorder="1"/>
    <xf numFmtId="17" fontId="22" fillId="0" borderId="11" xfId="0" applyNumberFormat="1" applyFont="1" applyBorder="1"/>
    <xf numFmtId="0" fontId="11" fillId="0" borderId="12" xfId="0" applyFont="1" applyBorder="1"/>
    <xf numFmtId="3" fontId="11" fillId="0" borderId="0" xfId="0" applyNumberFormat="1" applyFont="1"/>
    <xf numFmtId="0" fontId="23" fillId="0" borderId="0" xfId="0" applyFont="1"/>
    <xf numFmtId="0" fontId="11" fillId="11" borderId="8" xfId="0" applyFont="1" applyFill="1" applyBorder="1"/>
    <xf numFmtId="17" fontId="11" fillId="13" borderId="19" xfId="0" applyNumberFormat="1" applyFont="1" applyFill="1" applyBorder="1"/>
    <xf numFmtId="0" fontId="11" fillId="13" borderId="19" xfId="0" applyFont="1" applyFill="1" applyBorder="1"/>
    <xf numFmtId="17" fontId="11" fillId="4" borderId="8" xfId="0" applyNumberFormat="1" applyFont="1" applyFill="1" applyBorder="1"/>
    <xf numFmtId="0" fontId="11" fillId="4" borderId="8" xfId="0" applyFont="1" applyFill="1" applyBorder="1"/>
    <xf numFmtId="0" fontId="11" fillId="0" borderId="8" xfId="0" applyFont="1" applyBorder="1"/>
    <xf numFmtId="14" fontId="11" fillId="0" borderId="8" xfId="0" applyNumberFormat="1" applyFont="1" applyBorder="1"/>
    <xf numFmtId="17" fontId="11" fillId="0" borderId="19" xfId="0" applyNumberFormat="1" applyFont="1" applyBorder="1"/>
    <xf numFmtId="0" fontId="11" fillId="0" borderId="19" xfId="0" applyFont="1" applyBorder="1"/>
    <xf numFmtId="3" fontId="11" fillId="0" borderId="8" xfId="0" applyNumberFormat="1" applyFont="1" applyBorder="1"/>
    <xf numFmtId="4" fontId="11" fillId="0" borderId="0" xfId="0" applyNumberFormat="1" applyFont="1"/>
    <xf numFmtId="0" fontId="11" fillId="9" borderId="8" xfId="0" applyFont="1" applyFill="1" applyBorder="1"/>
    <xf numFmtId="3" fontId="23" fillId="9" borderId="8" xfId="0" applyNumberFormat="1" applyFont="1" applyFill="1" applyBorder="1"/>
    <xf numFmtId="3" fontId="11" fillId="9" borderId="8" xfId="0" applyNumberFormat="1" applyFont="1" applyFill="1" applyBorder="1"/>
    <xf numFmtId="0" fontId="24" fillId="10" borderId="20" xfId="0" applyFont="1" applyFill="1" applyBorder="1"/>
    <xf numFmtId="0" fontId="14" fillId="0" borderId="13" xfId="0" applyFont="1" applyBorder="1" applyAlignment="1">
      <alignment horizontal="center"/>
    </xf>
    <xf numFmtId="0" fontId="14" fillId="0" borderId="14" xfId="0" applyFont="1" applyBorder="1"/>
    <xf numFmtId="0" fontId="14" fillId="0" borderId="14" xfId="0" applyFont="1" applyBorder="1" applyAlignment="1">
      <alignment horizontal="center"/>
    </xf>
    <xf numFmtId="0" fontId="14" fillId="0" borderId="15" xfId="0" applyFont="1" applyBorder="1"/>
    <xf numFmtId="0" fontId="27" fillId="0" borderId="0" xfId="0" applyFont="1"/>
    <xf numFmtId="0" fontId="28" fillId="0" borderId="0" xfId="0" applyFont="1"/>
    <xf numFmtId="1" fontId="11" fillId="0" borderId="8" xfId="0" applyNumberFormat="1" applyFont="1" applyBorder="1"/>
    <xf numFmtId="0" fontId="11" fillId="0" borderId="7" xfId="0" applyFont="1" applyBorder="1"/>
    <xf numFmtId="0" fontId="11" fillId="0" borderId="29" xfId="0" applyFont="1" applyBorder="1"/>
    <xf numFmtId="14" fontId="11" fillId="0" borderId="19" xfId="0" applyNumberFormat="1" applyFont="1" applyBorder="1"/>
    <xf numFmtId="0" fontId="11" fillId="0" borderId="30" xfId="0" applyFont="1" applyBorder="1"/>
    <xf numFmtId="0" fontId="23" fillId="0" borderId="13" xfId="0" applyFont="1" applyBorder="1"/>
    <xf numFmtId="0" fontId="23" fillId="0" borderId="14" xfId="0" applyFont="1" applyBorder="1"/>
    <xf numFmtId="0" fontId="23" fillId="0" borderId="15" xfId="0" applyFont="1" applyBorder="1"/>
    <xf numFmtId="0" fontId="11" fillId="0" borderId="16" xfId="0" applyFont="1" applyBorder="1"/>
    <xf numFmtId="14" fontId="11" fillId="0" borderId="17" xfId="0" applyNumberFormat="1" applyFont="1" applyBorder="1"/>
    <xf numFmtId="0" fontId="11" fillId="0" borderId="18" xfId="0" applyFont="1" applyBorder="1"/>
    <xf numFmtId="0" fontId="23" fillId="11" borderId="13" xfId="0" applyFont="1" applyFill="1" applyBorder="1"/>
    <xf numFmtId="0" fontId="23" fillId="11" borderId="14" xfId="0" applyFont="1" applyFill="1" applyBorder="1"/>
    <xf numFmtId="0" fontId="23" fillId="11" borderId="15" xfId="0" applyFont="1" applyFill="1" applyBorder="1"/>
    <xf numFmtId="0" fontId="22" fillId="0" borderId="29" xfId="0" applyFont="1" applyBorder="1"/>
    <xf numFmtId="0" fontId="22" fillId="0" borderId="19" xfId="0" applyFont="1" applyBorder="1"/>
    <xf numFmtId="17" fontId="22" fillId="0" borderId="19" xfId="0" applyNumberFormat="1" applyFont="1" applyBorder="1"/>
    <xf numFmtId="0" fontId="11" fillId="0" borderId="30" xfId="0" applyFont="1" applyBorder="1" applyAlignment="1">
      <alignment horizontal="right"/>
    </xf>
    <xf numFmtId="0" fontId="12" fillId="14" borderId="8" xfId="0" applyFont="1" applyFill="1" applyBorder="1"/>
    <xf numFmtId="14" fontId="9" fillId="0" borderId="8" xfId="0" applyNumberFormat="1" applyFont="1" applyBorder="1"/>
    <xf numFmtId="0" fontId="9" fillId="0" borderId="8" xfId="0" applyFont="1" applyBorder="1"/>
    <xf numFmtId="3" fontId="9" fillId="0" borderId="8" xfId="0" applyNumberFormat="1" applyFont="1" applyBorder="1"/>
    <xf numFmtId="3" fontId="9" fillId="0" borderId="0" xfId="0" applyNumberFormat="1" applyFont="1"/>
    <xf numFmtId="0" fontId="9" fillId="11" borderId="8" xfId="0" applyFont="1" applyFill="1" applyBorder="1"/>
    <xf numFmtId="3" fontId="9" fillId="11" borderId="8" xfId="0" applyNumberFormat="1" applyFont="1" applyFill="1" applyBorder="1"/>
    <xf numFmtId="0" fontId="9" fillId="15" borderId="8" xfId="0" applyFont="1" applyFill="1" applyBorder="1"/>
    <xf numFmtId="0" fontId="12" fillId="15" borderId="8" xfId="0" applyFont="1" applyFill="1" applyBorder="1" applyAlignment="1">
      <alignment horizontal="right"/>
    </xf>
    <xf numFmtId="0" fontId="12" fillId="0" borderId="0" xfId="0" applyFont="1"/>
    <xf numFmtId="3" fontId="12" fillId="15" borderId="8" xfId="0" applyNumberFormat="1" applyFont="1" applyFill="1" applyBorder="1"/>
    <xf numFmtId="0" fontId="20" fillId="5" borderId="29" xfId="0" applyFont="1" applyFill="1" applyBorder="1"/>
    <xf numFmtId="0" fontId="20" fillId="5" borderId="19" xfId="0" applyFont="1" applyFill="1" applyBorder="1"/>
    <xf numFmtId="15" fontId="20" fillId="5" borderId="19" xfId="0" applyNumberFormat="1" applyFont="1" applyFill="1" applyBorder="1"/>
    <xf numFmtId="15" fontId="20" fillId="5" borderId="30" xfId="0" applyNumberFormat="1" applyFont="1" applyFill="1" applyBorder="1"/>
    <xf numFmtId="0" fontId="20" fillId="6" borderId="4" xfId="0" applyFont="1" applyFill="1" applyBorder="1"/>
    <xf numFmtId="0" fontId="20" fillId="6" borderId="5" xfId="0" applyFont="1" applyFill="1" applyBorder="1"/>
    <xf numFmtId="15" fontId="20" fillId="6" borderId="5" xfId="0" applyNumberFormat="1" applyFont="1" applyFill="1" applyBorder="1"/>
    <xf numFmtId="15" fontId="20" fillId="6" borderId="6" xfId="0" applyNumberFormat="1" applyFont="1" applyFill="1" applyBorder="1"/>
    <xf numFmtId="0" fontId="20" fillId="6" borderId="8" xfId="0" applyFont="1" applyFill="1" applyBorder="1"/>
    <xf numFmtId="15" fontId="20" fillId="6" borderId="8" xfId="0" applyNumberFormat="1" applyFont="1" applyFill="1" applyBorder="1"/>
    <xf numFmtId="0" fontId="20" fillId="6" borderId="7" xfId="0" applyFont="1" applyFill="1" applyBorder="1"/>
    <xf numFmtId="15" fontId="20" fillId="6" borderId="9" xfId="0" applyNumberFormat="1" applyFont="1" applyFill="1" applyBorder="1"/>
    <xf numFmtId="0" fontId="1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3" fillId="11" borderId="8" xfId="0" applyFont="1" applyFill="1" applyBorder="1" applyAlignment="1">
      <alignment horizontal="left" vertical="top"/>
    </xf>
    <xf numFmtId="0" fontId="19" fillId="0" borderId="0" xfId="2" applyFont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1" fontId="0" fillId="0" borderId="8" xfId="0" applyNumberFormat="1" applyBorder="1" applyAlignment="1">
      <alignment horizontal="left" vertical="top"/>
    </xf>
    <xf numFmtId="0" fontId="19" fillId="0" borderId="0" xfId="2" applyFont="1" applyAlignment="1">
      <alignment horizontal="left" vertical="top" wrapText="1"/>
    </xf>
    <xf numFmtId="0" fontId="7" fillId="0" borderId="8" xfId="0" quotePrefix="1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29" fillId="0" borderId="25" xfId="0" applyFont="1" applyBorder="1"/>
    <xf numFmtId="0" fontId="29" fillId="0" borderId="26" xfId="0" applyFont="1" applyBorder="1"/>
    <xf numFmtId="0" fontId="31" fillId="0" borderId="0" xfId="0" applyFont="1"/>
    <xf numFmtId="0" fontId="30" fillId="0" borderId="0" xfId="0" applyFont="1"/>
    <xf numFmtId="0" fontId="37" fillId="0" borderId="0" xfId="0" applyFont="1"/>
    <xf numFmtId="0" fontId="32" fillId="0" borderId="27" xfId="0" applyFont="1" applyBorder="1" applyAlignment="1">
      <alignment horizontal="right"/>
    </xf>
    <xf numFmtId="0" fontId="32" fillId="0" borderId="28" xfId="0" applyFont="1" applyBorder="1"/>
    <xf numFmtId="0" fontId="32" fillId="0" borderId="0" xfId="0" applyFont="1"/>
    <xf numFmtId="0" fontId="34" fillId="0" borderId="0" xfId="0" applyFont="1"/>
    <xf numFmtId="0" fontId="33" fillId="0" borderId="0" xfId="0" applyFont="1"/>
    <xf numFmtId="0" fontId="36" fillId="0" borderId="0" xfId="0" applyFont="1"/>
    <xf numFmtId="2" fontId="36" fillId="0" borderId="0" xfId="0" applyNumberFormat="1" applyFont="1"/>
    <xf numFmtId="0" fontId="35" fillId="0" borderId="0" xfId="0" applyFont="1"/>
    <xf numFmtId="0" fontId="38" fillId="0" borderId="0" xfId="0" applyFont="1"/>
    <xf numFmtId="1" fontId="38" fillId="0" borderId="0" xfId="0" applyNumberFormat="1" applyFont="1"/>
    <xf numFmtId="0" fontId="38" fillId="0" borderId="0" xfId="0" applyFont="1" applyAlignment="1">
      <alignment horizontal="right"/>
    </xf>
    <xf numFmtId="0" fontId="41" fillId="0" borderId="0" xfId="0" applyFont="1"/>
    <xf numFmtId="0" fontId="38" fillId="0" borderId="34" xfId="0" applyFont="1" applyBorder="1"/>
    <xf numFmtId="0" fontId="38" fillId="0" borderId="35" xfId="0" applyFont="1" applyBorder="1"/>
    <xf numFmtId="0" fontId="38" fillId="0" borderId="36" xfId="0" applyFont="1" applyBorder="1"/>
    <xf numFmtId="0" fontId="38" fillId="0" borderId="37" xfId="0" applyFont="1" applyBorder="1"/>
    <xf numFmtId="0" fontId="30" fillId="0" borderId="38" xfId="0" applyFont="1" applyBorder="1"/>
    <xf numFmtId="0" fontId="30" fillId="0" borderId="39" xfId="0" applyFont="1" applyBorder="1"/>
    <xf numFmtId="0" fontId="29" fillId="0" borderId="8" xfId="0" applyFont="1" applyBorder="1"/>
    <xf numFmtId="0" fontId="32" fillId="0" borderId="8" xfId="0" applyFont="1" applyBorder="1" applyAlignment="1">
      <alignment horizontal="right"/>
    </xf>
    <xf numFmtId="0" fontId="32" fillId="0" borderId="8" xfId="0" applyFont="1" applyBorder="1"/>
    <xf numFmtId="0" fontId="35" fillId="0" borderId="8" xfId="0" applyFont="1" applyBorder="1" applyAlignment="1">
      <alignment horizontal="right"/>
    </xf>
    <xf numFmtId="0" fontId="35" fillId="0" borderId="8" xfId="0" applyFont="1" applyBorder="1"/>
    <xf numFmtId="0" fontId="38" fillId="0" borderId="44" xfId="0" applyFont="1" applyBorder="1"/>
    <xf numFmtId="0" fontId="29" fillId="0" borderId="45" xfId="1" applyFont="1" applyBorder="1"/>
    <xf numFmtId="0" fontId="38" fillId="0" borderId="46" xfId="0" applyFont="1" applyBorder="1"/>
    <xf numFmtId="0" fontId="29" fillId="0" borderId="47" xfId="1" applyFont="1" applyBorder="1"/>
    <xf numFmtId="0" fontId="38" fillId="10" borderId="48" xfId="0" applyFont="1" applyFill="1" applyBorder="1"/>
    <xf numFmtId="0" fontId="38" fillId="0" borderId="49" xfId="0" applyFont="1" applyBorder="1"/>
    <xf numFmtId="0" fontId="43" fillId="0" borderId="0" xfId="4" applyFont="1"/>
    <xf numFmtId="0" fontId="3" fillId="0" borderId="0" xfId="0" applyFont="1"/>
    <xf numFmtId="3" fontId="9" fillId="13" borderId="0" xfId="0" applyNumberFormat="1" applyFont="1" applyFill="1"/>
    <xf numFmtId="3" fontId="44" fillId="0" borderId="0" xfId="0" applyNumberFormat="1" applyFont="1"/>
    <xf numFmtId="0" fontId="2" fillId="0" borderId="8" xfId="0" quotePrefix="1" applyFont="1" applyBorder="1" applyAlignment="1">
      <alignment horizontal="left" vertical="top"/>
    </xf>
    <xf numFmtId="0" fontId="13" fillId="0" borderId="0" xfId="0" applyFont="1" applyAlignment="1">
      <alignment vertical="center"/>
    </xf>
    <xf numFmtId="3" fontId="13" fillId="0" borderId="0" xfId="0" applyNumberFormat="1" applyFont="1" applyAlignment="1">
      <alignment vertical="center"/>
    </xf>
    <xf numFmtId="0" fontId="45" fillId="0" borderId="0" xfId="0" applyFont="1" applyAlignment="1">
      <alignment horizontal="left" vertical="center" wrapText="1"/>
    </xf>
    <xf numFmtId="0" fontId="45" fillId="0" borderId="0" xfId="0" quotePrefix="1" applyFont="1" applyAlignment="1">
      <alignment horizontal="left" vertical="center" wrapText="1"/>
    </xf>
    <xf numFmtId="0" fontId="1" fillId="0" borderId="8" xfId="0" applyFont="1" applyBorder="1" applyAlignment="1">
      <alignment horizontal="left" vertical="top"/>
    </xf>
    <xf numFmtId="0" fontId="34" fillId="19" borderId="40" xfId="0" applyFont="1" applyFill="1" applyBorder="1" applyAlignment="1">
      <alignment horizontal="left"/>
    </xf>
    <xf numFmtId="0" fontId="34" fillId="19" borderId="41" xfId="0" applyFont="1" applyFill="1" applyBorder="1" applyAlignment="1">
      <alignment horizontal="left"/>
    </xf>
    <xf numFmtId="0" fontId="36" fillId="20" borderId="40" xfId="0" applyFont="1" applyFill="1" applyBorder="1" applyAlignment="1">
      <alignment horizontal="left"/>
    </xf>
    <xf numFmtId="0" fontId="36" fillId="20" borderId="41" xfId="0" applyFont="1" applyFill="1" applyBorder="1" applyAlignment="1">
      <alignment horizontal="left"/>
    </xf>
    <xf numFmtId="0" fontId="38" fillId="0" borderId="40" xfId="0" applyFont="1" applyBorder="1" applyAlignment="1">
      <alignment horizontal="center"/>
    </xf>
    <xf numFmtId="0" fontId="38" fillId="0" borderId="41" xfId="0" applyFont="1" applyBorder="1" applyAlignment="1">
      <alignment horizontal="center"/>
    </xf>
    <xf numFmtId="0" fontId="38" fillId="0" borderId="42" xfId="0" applyFont="1" applyBorder="1" applyAlignment="1">
      <alignment horizontal="center"/>
    </xf>
    <xf numFmtId="0" fontId="38" fillId="0" borderId="43" xfId="0" applyFont="1" applyBorder="1" applyAlignment="1">
      <alignment horizontal="center"/>
    </xf>
    <xf numFmtId="0" fontId="39" fillId="17" borderId="8" xfId="0" applyFont="1" applyFill="1" applyBorder="1" applyAlignment="1">
      <alignment horizontal="center"/>
    </xf>
    <xf numFmtId="0" fontId="40" fillId="18" borderId="23" xfId="0" applyFont="1" applyFill="1" applyBorder="1" applyAlignment="1">
      <alignment horizontal="center"/>
    </xf>
    <xf numFmtId="0" fontId="40" fillId="18" borderId="24" xfId="0" applyFont="1" applyFill="1" applyBorder="1" applyAlignment="1">
      <alignment horizontal="center"/>
    </xf>
    <xf numFmtId="0" fontId="31" fillId="12" borderId="40" xfId="0" applyFont="1" applyFill="1" applyBorder="1" applyAlignment="1">
      <alignment horizontal="left"/>
    </xf>
    <xf numFmtId="0" fontId="31" fillId="12" borderId="41" xfId="0" applyFont="1" applyFill="1" applyBorder="1" applyAlignment="1">
      <alignment horizontal="left"/>
    </xf>
    <xf numFmtId="0" fontId="37" fillId="14" borderId="40" xfId="0" applyFont="1" applyFill="1" applyBorder="1" applyAlignment="1">
      <alignment horizontal="left"/>
    </xf>
    <xf numFmtId="0" fontId="37" fillId="14" borderId="41" xfId="0" applyFont="1" applyFill="1" applyBorder="1" applyAlignment="1">
      <alignment horizontal="left"/>
    </xf>
    <xf numFmtId="0" fontId="0" fillId="0" borderId="8" xfId="0" applyBorder="1" applyAlignment="1">
      <alignment horizontal="left" vertical="top"/>
    </xf>
    <xf numFmtId="3" fontId="11" fillId="0" borderId="0" xfId="0" applyNumberFormat="1" applyFont="1" applyAlignment="1">
      <alignment horizontal="left" vertical="top"/>
    </xf>
    <xf numFmtId="0" fontId="26" fillId="2" borderId="1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2" fontId="25" fillId="0" borderId="21" xfId="0" applyNumberFormat="1" applyFont="1" applyBorder="1" applyAlignment="1">
      <alignment horizontal="left"/>
    </xf>
    <xf numFmtId="2" fontId="25" fillId="0" borderId="22" xfId="0" applyNumberFormat="1" applyFont="1" applyBorder="1" applyAlignment="1">
      <alignment horizontal="left"/>
    </xf>
    <xf numFmtId="0" fontId="14" fillId="16" borderId="31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14" fillId="16" borderId="33" xfId="0" applyFont="1" applyFill="1" applyBorder="1" applyAlignment="1">
      <alignment horizontal="center"/>
    </xf>
    <xf numFmtId="0" fontId="30" fillId="12" borderId="40" xfId="0" applyFont="1" applyFill="1" applyBorder="1" applyAlignment="1">
      <alignment horizontal="left"/>
    </xf>
    <xf numFmtId="0" fontId="30" fillId="12" borderId="41" xfId="0" applyFont="1" applyFill="1" applyBorder="1" applyAlignment="1">
      <alignment horizontal="left"/>
    </xf>
    <xf numFmtId="0" fontId="32" fillId="14" borderId="40" xfId="0" applyFont="1" applyFill="1" applyBorder="1" applyAlignment="1">
      <alignment horizontal="left"/>
    </xf>
    <xf numFmtId="0" fontId="32" fillId="14" borderId="41" xfId="0" applyFont="1" applyFill="1" applyBorder="1" applyAlignment="1">
      <alignment horizontal="left"/>
    </xf>
    <xf numFmtId="0" fontId="33" fillId="19" borderId="40" xfId="0" applyFont="1" applyFill="1" applyBorder="1" applyAlignment="1">
      <alignment horizontal="left"/>
    </xf>
    <xf numFmtId="0" fontId="33" fillId="19" borderId="41" xfId="0" applyFont="1" applyFill="1" applyBorder="1" applyAlignment="1">
      <alignment horizontal="left"/>
    </xf>
    <xf numFmtId="0" fontId="35" fillId="20" borderId="40" xfId="0" applyFont="1" applyFill="1" applyBorder="1" applyAlignment="1">
      <alignment horizontal="left"/>
    </xf>
    <xf numFmtId="0" fontId="35" fillId="20" borderId="41" xfId="0" applyFont="1" applyFill="1" applyBorder="1" applyAlignment="1">
      <alignment horizontal="left"/>
    </xf>
  </cellXfs>
  <cellStyles count="5">
    <cellStyle name="Hyperlink" xfId="4" builtinId="8"/>
    <cellStyle name="Normal" xfId="0" builtinId="0"/>
    <cellStyle name="Normal 2" xfId="1" xr:uid="{00000000-0005-0000-0000-000031000000}"/>
    <cellStyle name="Normal 2 2" xfId="3" xr:uid="{5615BE36-D9DF-4594-B6B9-AA96ABA5DF2B}"/>
    <cellStyle name="Normal 3" xfId="2" xr:uid="{7624388F-B808-45E0-9B0B-632B319FD179}"/>
  </cellStyles>
  <dxfs count="0"/>
  <tableStyles count="0" defaultTableStyle="TableStyleMedium2" defaultPivotStyle="PivotStyleLight16"/>
  <colors>
    <mruColors>
      <color rgb="FFEFF6EA"/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Vad@220708" TargetMode="External"/><Relationship Id="rId3" Type="http://schemas.openxmlformats.org/officeDocument/2006/relationships/hyperlink" Target="mailto:Danyadeep@2012" TargetMode="External"/><Relationship Id="rId7" Type="http://schemas.openxmlformats.org/officeDocument/2006/relationships/hyperlink" Target="mailto:Vad@220708" TargetMode="External"/><Relationship Id="rId2" Type="http://schemas.openxmlformats.org/officeDocument/2006/relationships/hyperlink" Target="mailto:Danyadeep@2012" TargetMode="External"/><Relationship Id="rId1" Type="http://schemas.openxmlformats.org/officeDocument/2006/relationships/hyperlink" Target="mailto:Danyadeep@2012" TargetMode="External"/><Relationship Id="rId6" Type="http://schemas.openxmlformats.org/officeDocument/2006/relationships/hyperlink" Target="mailto:Vad@12070904" TargetMode="External"/><Relationship Id="rId5" Type="http://schemas.openxmlformats.org/officeDocument/2006/relationships/hyperlink" Target="mailto:Vad@830104" TargetMode="External"/><Relationship Id="rId4" Type="http://schemas.openxmlformats.org/officeDocument/2006/relationships/hyperlink" Target="mailto:Vad@220789%20/%20Anitha_04%20/%20280979" TargetMode="External"/><Relationship Id="rId9" Type="http://schemas.openxmlformats.org/officeDocument/2006/relationships/hyperlink" Target="mailto:Kvraman@1979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dropbox.com/scl/fi/7lr9x7bd6nwh5dnek972u/A.M-Accounts.xlsx?rlkey=xpy43xrkzmr0vs8to1rmxz51c&amp;st=xx5y189c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9727-3460-48A9-B657-B7C88AA05DD2}">
  <dimension ref="B1:K43"/>
  <sheetViews>
    <sheetView topLeftCell="A7" workbookViewId="0">
      <selection activeCell="K13" sqref="K13:K14"/>
    </sheetView>
  </sheetViews>
  <sheetFormatPr defaultColWidth="9.109375" defaultRowHeight="15"/>
  <cols>
    <col min="1" max="1" width="3.77734375" style="141" customWidth="1"/>
    <col min="2" max="2" width="15.77734375" style="141" customWidth="1"/>
    <col min="3" max="3" width="9.109375" style="141" customWidth="1"/>
    <col min="4" max="4" width="6.5546875" style="141" customWidth="1"/>
    <col min="5" max="5" width="5.88671875" style="141" customWidth="1"/>
    <col min="6" max="6" width="15.77734375" style="141" customWidth="1"/>
    <col min="7" max="7" width="8.77734375" style="141" customWidth="1"/>
    <col min="8" max="8" width="7" style="141" customWidth="1"/>
    <col min="9" max="9" width="7.5546875" style="141" customWidth="1"/>
    <col min="10" max="10" width="7.77734375" style="141" customWidth="1"/>
    <col min="11" max="14" width="9.109375" style="141"/>
    <col min="15" max="15" width="10.21875" style="141" bestFit="1" customWidth="1"/>
    <col min="16" max="16384" width="9.109375" style="141"/>
  </cols>
  <sheetData>
    <row r="1" spans="2:11" ht="7.5" customHeight="1" thickBot="1"/>
    <row r="2" spans="2:11">
      <c r="B2" s="180" t="s">
        <v>192</v>
      </c>
      <c r="C2" s="180"/>
      <c r="D2" s="130"/>
      <c r="F2" s="181" t="s">
        <v>196</v>
      </c>
      <c r="G2" s="182"/>
    </row>
    <row r="3" spans="2:11">
      <c r="B3" s="183" t="s">
        <v>0</v>
      </c>
      <c r="C3" s="184"/>
      <c r="D3" s="130"/>
      <c r="F3" s="183" t="s">
        <v>0</v>
      </c>
      <c r="G3" s="184"/>
    </row>
    <row r="4" spans="2:11">
      <c r="B4" s="151" t="s">
        <v>25</v>
      </c>
      <c r="C4" s="151">
        <v>18000</v>
      </c>
      <c r="D4" s="130"/>
      <c r="F4" s="128" t="s">
        <v>25</v>
      </c>
      <c r="G4" s="129">
        <v>0</v>
      </c>
    </row>
    <row r="5" spans="2:11">
      <c r="B5" s="151" t="s">
        <v>1</v>
      </c>
      <c r="C5" s="151">
        <v>15000</v>
      </c>
      <c r="D5" s="130"/>
      <c r="F5" s="128" t="s">
        <v>1</v>
      </c>
      <c r="G5" s="129">
        <v>15000</v>
      </c>
      <c r="H5" s="142"/>
      <c r="I5" s="142"/>
    </row>
    <row r="6" spans="2:11">
      <c r="B6" s="151" t="s">
        <v>2</v>
      </c>
      <c r="C6" s="151">
        <v>3000</v>
      </c>
      <c r="D6" s="130"/>
      <c r="F6" s="128" t="s">
        <v>3</v>
      </c>
      <c r="G6" s="129">
        <v>0</v>
      </c>
      <c r="H6" s="141">
        <f>45*55</f>
        <v>2475</v>
      </c>
    </row>
    <row r="7" spans="2:11">
      <c r="B7" s="151" t="s">
        <v>4</v>
      </c>
      <c r="C7" s="151">
        <v>5000</v>
      </c>
      <c r="D7" s="130"/>
      <c r="F7" s="128" t="s">
        <v>4</v>
      </c>
      <c r="G7" s="129">
        <v>5000</v>
      </c>
    </row>
    <row r="8" spans="2:11">
      <c r="B8" s="151" t="s">
        <v>5</v>
      </c>
      <c r="C8" s="151">
        <v>4000</v>
      </c>
      <c r="D8" s="130"/>
      <c r="F8" s="128" t="s">
        <v>5</v>
      </c>
      <c r="G8" s="129">
        <v>4000</v>
      </c>
      <c r="I8" s="142"/>
    </row>
    <row r="9" spans="2:11">
      <c r="B9" s="151" t="s">
        <v>6</v>
      </c>
      <c r="C9" s="151">
        <v>3000</v>
      </c>
      <c r="D9" s="130"/>
      <c r="F9" s="128" t="s">
        <v>6</v>
      </c>
      <c r="G9" s="129">
        <v>3000</v>
      </c>
      <c r="H9" s="142"/>
    </row>
    <row r="10" spans="2:11">
      <c r="B10" s="151" t="s">
        <v>8</v>
      </c>
      <c r="C10" s="151">
        <v>25000</v>
      </c>
      <c r="D10" s="130"/>
      <c r="F10" s="128" t="s">
        <v>8</v>
      </c>
      <c r="G10" s="129">
        <v>15000</v>
      </c>
      <c r="H10" s="142"/>
      <c r="I10" s="142"/>
    </row>
    <row r="11" spans="2:11">
      <c r="B11" s="151" t="s">
        <v>29</v>
      </c>
      <c r="C11" s="151">
        <v>3000</v>
      </c>
      <c r="D11" s="130"/>
      <c r="F11" s="128" t="s">
        <v>29</v>
      </c>
      <c r="G11" s="129">
        <v>0</v>
      </c>
      <c r="H11" s="142"/>
    </row>
    <row r="12" spans="2:11">
      <c r="B12" s="151" t="s">
        <v>10</v>
      </c>
      <c r="C12" s="151">
        <v>5000</v>
      </c>
      <c r="D12" s="130"/>
      <c r="F12" s="128" t="s">
        <v>10</v>
      </c>
      <c r="G12" s="129">
        <v>0</v>
      </c>
    </row>
    <row r="13" spans="2:11">
      <c r="B13" s="152" t="s">
        <v>11</v>
      </c>
      <c r="C13" s="153">
        <f>SUM(C4:C12)</f>
        <v>81000</v>
      </c>
      <c r="D13" s="131"/>
      <c r="F13" s="152" t="s">
        <v>11</v>
      </c>
      <c r="G13" s="153">
        <f>SUM(G4:G12)</f>
        <v>42000</v>
      </c>
      <c r="J13" s="141" t="s">
        <v>202</v>
      </c>
      <c r="K13" s="141">
        <v>12000</v>
      </c>
    </row>
    <row r="14" spans="2:11">
      <c r="B14" s="185" t="s">
        <v>12</v>
      </c>
      <c r="C14" s="186"/>
      <c r="D14" s="132"/>
      <c r="F14" s="185" t="s">
        <v>12</v>
      </c>
      <c r="G14" s="186"/>
      <c r="J14" s="141" t="s">
        <v>158</v>
      </c>
      <c r="K14" s="141">
        <v>45000</v>
      </c>
    </row>
    <row r="15" spans="2:11">
      <c r="B15" s="151" t="s">
        <v>13</v>
      </c>
      <c r="C15" s="151">
        <v>5000</v>
      </c>
      <c r="D15" s="132"/>
      <c r="F15" s="128" t="s">
        <v>13</v>
      </c>
      <c r="G15" s="129">
        <v>0</v>
      </c>
      <c r="I15" s="141" t="s">
        <v>199</v>
      </c>
    </row>
    <row r="16" spans="2:11">
      <c r="B16" s="151" t="s">
        <v>14</v>
      </c>
      <c r="C16" s="151">
        <v>20000</v>
      </c>
      <c r="D16" s="132"/>
      <c r="F16" s="128" t="s">
        <v>14</v>
      </c>
      <c r="G16" s="129">
        <v>0</v>
      </c>
    </row>
    <row r="17" spans="2:11">
      <c r="B17" s="151" t="s">
        <v>30</v>
      </c>
      <c r="C17" s="151">
        <v>4200</v>
      </c>
      <c r="D17" s="132"/>
      <c r="F17" s="128" t="s">
        <v>31</v>
      </c>
      <c r="G17" s="129">
        <v>0</v>
      </c>
    </row>
    <row r="18" spans="2:11" ht="15.6" thickBot="1">
      <c r="B18" s="151" t="s">
        <v>15</v>
      </c>
      <c r="C18" s="151">
        <v>25000</v>
      </c>
      <c r="D18" s="132"/>
      <c r="F18" s="128" t="s">
        <v>15</v>
      </c>
      <c r="G18" s="129">
        <v>0</v>
      </c>
    </row>
    <row r="19" spans="2:11" ht="15.6" thickBot="1">
      <c r="B19" s="152" t="s">
        <v>11</v>
      </c>
      <c r="C19" s="153">
        <f>SUM(C15:C18)</f>
        <v>54200</v>
      </c>
      <c r="D19" s="135"/>
      <c r="F19" s="133" t="s">
        <v>11</v>
      </c>
      <c r="G19" s="134">
        <f>SUM(G15:G18)</f>
        <v>0</v>
      </c>
    </row>
    <row r="20" spans="2:11">
      <c r="B20" s="172" t="s">
        <v>16</v>
      </c>
      <c r="C20" s="173"/>
      <c r="D20" s="136"/>
      <c r="F20" s="172" t="s">
        <v>16</v>
      </c>
      <c r="G20" s="173"/>
    </row>
    <row r="21" spans="2:11">
      <c r="B21" s="151" t="s">
        <v>17</v>
      </c>
      <c r="C21" s="151">
        <v>1000</v>
      </c>
      <c r="D21" s="136"/>
      <c r="F21" s="128" t="s">
        <v>17</v>
      </c>
      <c r="G21" s="129">
        <v>0</v>
      </c>
    </row>
    <row r="22" spans="2:11">
      <c r="B22" s="151" t="s">
        <v>33</v>
      </c>
      <c r="C22" s="151">
        <v>1500</v>
      </c>
      <c r="D22" s="136"/>
      <c r="F22" s="128" t="s">
        <v>33</v>
      </c>
      <c r="G22" s="129">
        <v>0</v>
      </c>
    </row>
    <row r="23" spans="2:11">
      <c r="B23" s="152" t="s">
        <v>11</v>
      </c>
      <c r="C23" s="153">
        <f>SUM(C21:C22)</f>
        <v>2500</v>
      </c>
      <c r="D23" s="137"/>
      <c r="F23" s="152" t="s">
        <v>11</v>
      </c>
      <c r="G23" s="153">
        <f>SUM(G21:G22)</f>
        <v>0</v>
      </c>
    </row>
    <row r="24" spans="2:11">
      <c r="B24" s="174" t="s">
        <v>18</v>
      </c>
      <c r="C24" s="175"/>
      <c r="D24" s="138"/>
      <c r="F24" s="174" t="s">
        <v>18</v>
      </c>
      <c r="G24" s="175"/>
    </row>
    <row r="25" spans="2:11">
      <c r="B25" s="151" t="s">
        <v>19</v>
      </c>
      <c r="C25" s="151">
        <v>20000</v>
      </c>
      <c r="D25" s="139"/>
      <c r="F25" s="128" t="s">
        <v>19</v>
      </c>
      <c r="G25" s="129">
        <v>40000</v>
      </c>
      <c r="I25" s="143"/>
      <c r="J25" s="143"/>
      <c r="K25" s="143"/>
    </row>
    <row r="26" spans="2:11">
      <c r="B26" s="151" t="s">
        <v>94</v>
      </c>
      <c r="C26" s="151">
        <v>25000</v>
      </c>
      <c r="D26" s="139"/>
      <c r="F26" s="128" t="s">
        <v>94</v>
      </c>
      <c r="G26" s="129">
        <v>25000</v>
      </c>
      <c r="I26" s="143"/>
      <c r="J26" s="143"/>
      <c r="K26" s="143"/>
    </row>
    <row r="27" spans="2:11">
      <c r="B27" s="151" t="s">
        <v>110</v>
      </c>
      <c r="C27" s="151">
        <v>20000</v>
      </c>
      <c r="D27" s="139"/>
      <c r="F27" s="128" t="s">
        <v>110</v>
      </c>
      <c r="G27" s="129">
        <v>0</v>
      </c>
      <c r="I27" s="143"/>
      <c r="J27" s="143"/>
      <c r="K27" s="143"/>
    </row>
    <row r="28" spans="2:11">
      <c r="B28" s="152" t="s">
        <v>11</v>
      </c>
      <c r="C28" s="153">
        <f>SUM(C25:C27)</f>
        <v>65000</v>
      </c>
      <c r="D28" s="140"/>
      <c r="F28" s="152" t="s">
        <v>11</v>
      </c>
      <c r="G28" s="153">
        <f>SUM(G25:G27)</f>
        <v>65000</v>
      </c>
      <c r="H28" s="143"/>
      <c r="I28" s="143"/>
      <c r="J28" s="143"/>
    </row>
    <row r="29" spans="2:11">
      <c r="B29" s="176"/>
      <c r="C29" s="177"/>
      <c r="F29" s="178"/>
      <c r="G29" s="179"/>
    </row>
    <row r="30" spans="2:11">
      <c r="B30" s="154" t="s">
        <v>20</v>
      </c>
      <c r="C30" s="155">
        <f>SUM(C19,C13,C23,C28)</f>
        <v>202700</v>
      </c>
      <c r="D30" s="140"/>
      <c r="F30" s="154" t="s">
        <v>20</v>
      </c>
      <c r="G30" s="155">
        <f>SUM(G19,G13,G23,G28)</f>
        <v>107000</v>
      </c>
      <c r="H30" s="143"/>
    </row>
    <row r="31" spans="2:11" ht="15.6" thickBot="1">
      <c r="H31" s="143"/>
    </row>
    <row r="32" spans="2:11">
      <c r="B32" s="145" t="s">
        <v>21</v>
      </c>
      <c r="C32" s="146">
        <v>58000</v>
      </c>
      <c r="F32" s="156" t="s">
        <v>22</v>
      </c>
      <c r="G32" s="157">
        <f>158686+2500</f>
        <v>161186</v>
      </c>
    </row>
    <row r="33" spans="2:9">
      <c r="B33" s="147" t="s">
        <v>23</v>
      </c>
      <c r="C33" s="148">
        <v>0</v>
      </c>
      <c r="F33" s="158" t="s">
        <v>24</v>
      </c>
      <c r="G33" s="159">
        <f>67000+2500</f>
        <v>69500</v>
      </c>
    </row>
    <row r="34" spans="2:9" ht="15.6" thickBot="1">
      <c r="B34" s="147" t="s">
        <v>26</v>
      </c>
      <c r="C34" s="148">
        <v>0</v>
      </c>
      <c r="F34" s="160" t="s">
        <v>27</v>
      </c>
      <c r="G34" s="161">
        <f>SUM(G32:G33)</f>
        <v>230686</v>
      </c>
    </row>
    <row r="35" spans="2:9" ht="15.6" thickBot="1">
      <c r="B35" s="149" t="s">
        <v>11</v>
      </c>
      <c r="C35" s="150">
        <f>SUM(C32:C34)</f>
        <v>58000</v>
      </c>
    </row>
    <row r="36" spans="2:9">
      <c r="B36" s="141" t="s">
        <v>28</v>
      </c>
      <c r="C36" s="141">
        <f>G30</f>
        <v>107000</v>
      </c>
    </row>
    <row r="38" spans="2:9">
      <c r="B38" s="141" t="s">
        <v>36</v>
      </c>
      <c r="C38" s="144">
        <f>C35-C36</f>
        <v>-49000</v>
      </c>
    </row>
    <row r="40" spans="2:9">
      <c r="D40" s="144"/>
    </row>
    <row r="43" spans="2:9">
      <c r="I43" s="141" t="s">
        <v>7</v>
      </c>
    </row>
  </sheetData>
  <mergeCells count="12">
    <mergeCell ref="B2:C2"/>
    <mergeCell ref="F2:G2"/>
    <mergeCell ref="B3:C3"/>
    <mergeCell ref="B14:C14"/>
    <mergeCell ref="F3:G3"/>
    <mergeCell ref="F14:G14"/>
    <mergeCell ref="B20:C20"/>
    <mergeCell ref="B24:C24"/>
    <mergeCell ref="F24:G24"/>
    <mergeCell ref="F20:G20"/>
    <mergeCell ref="B29:C29"/>
    <mergeCell ref="F29:G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184E-5B35-4A7A-945A-D630C8ABA0C1}">
  <dimension ref="B1:K43"/>
  <sheetViews>
    <sheetView topLeftCell="A20" workbookViewId="0">
      <selection activeCell="O38" sqref="O38"/>
    </sheetView>
  </sheetViews>
  <sheetFormatPr defaultColWidth="9.109375" defaultRowHeight="15"/>
  <cols>
    <col min="1" max="1" width="3.77734375" style="141" customWidth="1"/>
    <col min="2" max="2" width="14" style="141" bestFit="1" customWidth="1"/>
    <col min="3" max="3" width="9.109375" style="141" customWidth="1"/>
    <col min="4" max="4" width="6.5546875" style="141" customWidth="1"/>
    <col min="5" max="5" width="5.88671875" style="141" customWidth="1"/>
    <col min="6" max="6" width="13.109375" style="141" customWidth="1"/>
    <col min="7" max="7" width="8.77734375" style="141" customWidth="1"/>
    <col min="8" max="8" width="7" style="141" customWidth="1"/>
    <col min="9" max="9" width="7.5546875" style="141" customWidth="1"/>
    <col min="10" max="10" width="7.77734375" style="141" customWidth="1"/>
    <col min="11" max="14" width="9.109375" style="141"/>
    <col min="15" max="15" width="10.21875" style="141" bestFit="1" customWidth="1"/>
    <col min="16" max="16384" width="9.109375" style="141"/>
  </cols>
  <sheetData>
    <row r="1" spans="2:9" ht="7.5" customHeight="1" thickBot="1"/>
    <row r="2" spans="2:9">
      <c r="B2" s="180" t="s">
        <v>200</v>
      </c>
      <c r="C2" s="180"/>
      <c r="D2" s="130"/>
      <c r="F2" s="181" t="s">
        <v>201</v>
      </c>
      <c r="G2" s="182"/>
    </row>
    <row r="3" spans="2:9">
      <c r="B3" s="183" t="s">
        <v>0</v>
      </c>
      <c r="C3" s="184"/>
      <c r="D3" s="130"/>
      <c r="F3" s="183" t="s">
        <v>0</v>
      </c>
      <c r="G3" s="184"/>
    </row>
    <row r="4" spans="2:9">
      <c r="B4" s="151" t="s">
        <v>25</v>
      </c>
      <c r="C4" s="151">
        <v>18000</v>
      </c>
      <c r="D4" s="130"/>
      <c r="F4" s="128" t="s">
        <v>25</v>
      </c>
      <c r="G4" s="129">
        <v>0</v>
      </c>
    </row>
    <row r="5" spans="2:9">
      <c r="B5" s="151" t="s">
        <v>1</v>
      </c>
      <c r="C5" s="151">
        <v>15000</v>
      </c>
      <c r="D5" s="130"/>
      <c r="F5" s="128" t="s">
        <v>1</v>
      </c>
      <c r="G5" s="129">
        <v>10000</v>
      </c>
      <c r="H5" s="142"/>
      <c r="I5" s="142"/>
    </row>
    <row r="6" spans="2:9">
      <c r="B6" s="151" t="s">
        <v>2</v>
      </c>
      <c r="C6" s="151">
        <v>3000</v>
      </c>
      <c r="D6" s="130"/>
      <c r="F6" s="128" t="s">
        <v>3</v>
      </c>
      <c r="G6" s="129">
        <v>3000</v>
      </c>
      <c r="H6" s="141">
        <f>45*55</f>
        <v>2475</v>
      </c>
    </row>
    <row r="7" spans="2:9">
      <c r="B7" s="151" t="s">
        <v>4</v>
      </c>
      <c r="C7" s="151">
        <v>5000</v>
      </c>
      <c r="D7" s="130"/>
      <c r="F7" s="128" t="s">
        <v>4</v>
      </c>
      <c r="G7" s="129">
        <v>5000</v>
      </c>
    </row>
    <row r="8" spans="2:9">
      <c r="B8" s="151" t="s">
        <v>5</v>
      </c>
      <c r="C8" s="151">
        <v>4000</v>
      </c>
      <c r="D8" s="130"/>
      <c r="F8" s="128" t="s">
        <v>5</v>
      </c>
      <c r="G8" s="129">
        <v>4000</v>
      </c>
      <c r="I8" s="142"/>
    </row>
    <row r="9" spans="2:9">
      <c r="B9" s="151" t="s">
        <v>6</v>
      </c>
      <c r="C9" s="151">
        <v>3000</v>
      </c>
      <c r="D9" s="130"/>
      <c r="F9" s="128" t="s">
        <v>6</v>
      </c>
      <c r="G9" s="129">
        <v>3000</v>
      </c>
      <c r="H9" s="142"/>
    </row>
    <row r="10" spans="2:9">
      <c r="B10" s="151" t="s">
        <v>8</v>
      </c>
      <c r="C10" s="151">
        <v>25000</v>
      </c>
      <c r="D10" s="130"/>
      <c r="F10" s="128" t="s">
        <v>8</v>
      </c>
      <c r="G10" s="129">
        <v>10000</v>
      </c>
      <c r="H10" s="142"/>
      <c r="I10" s="142"/>
    </row>
    <row r="11" spans="2:9">
      <c r="B11" s="151" t="s">
        <v>29</v>
      </c>
      <c r="C11" s="151">
        <v>3000</v>
      </c>
      <c r="D11" s="130"/>
      <c r="F11" s="128" t="s">
        <v>29</v>
      </c>
      <c r="G11" s="129"/>
      <c r="H11" s="142"/>
    </row>
    <row r="12" spans="2:9">
      <c r="B12" s="151" t="s">
        <v>10</v>
      </c>
      <c r="C12" s="151">
        <v>5000</v>
      </c>
      <c r="D12" s="130"/>
      <c r="F12" s="128" t="s">
        <v>10</v>
      </c>
      <c r="G12" s="129">
        <v>5000</v>
      </c>
    </row>
    <row r="13" spans="2:9">
      <c r="B13" s="152" t="s">
        <v>11</v>
      </c>
      <c r="C13" s="153">
        <f>SUM(C4:C12)</f>
        <v>81000</v>
      </c>
      <c r="D13" s="131"/>
      <c r="F13" s="152" t="s">
        <v>11</v>
      </c>
      <c r="G13" s="153">
        <f>SUM(G4:G12)</f>
        <v>40000</v>
      </c>
    </row>
    <row r="14" spans="2:9">
      <c r="B14" s="185" t="s">
        <v>12</v>
      </c>
      <c r="C14" s="186"/>
      <c r="D14" s="132"/>
      <c r="F14" s="185" t="s">
        <v>12</v>
      </c>
      <c r="G14" s="186"/>
    </row>
    <row r="15" spans="2:9">
      <c r="B15" s="151" t="s">
        <v>13</v>
      </c>
      <c r="C15" s="151">
        <v>5000</v>
      </c>
      <c r="D15" s="132"/>
      <c r="F15" s="128" t="s">
        <v>13</v>
      </c>
      <c r="G15" s="129">
        <v>0</v>
      </c>
      <c r="I15" s="141" t="s">
        <v>199</v>
      </c>
    </row>
    <row r="16" spans="2:9">
      <c r="B16" s="151" t="s">
        <v>14</v>
      </c>
      <c r="C16" s="151">
        <v>20000</v>
      </c>
      <c r="D16" s="132"/>
      <c r="F16" s="128" t="s">
        <v>14</v>
      </c>
      <c r="G16" s="129"/>
    </row>
    <row r="17" spans="2:11">
      <c r="B17" s="151" t="s">
        <v>30</v>
      </c>
      <c r="C17" s="151">
        <v>5000</v>
      </c>
      <c r="D17" s="132"/>
      <c r="F17" s="128" t="s">
        <v>31</v>
      </c>
      <c r="G17" s="129"/>
    </row>
    <row r="18" spans="2:11" ht="15.6" thickBot="1">
      <c r="B18" s="151" t="s">
        <v>15</v>
      </c>
      <c r="C18" s="151">
        <v>25000</v>
      </c>
      <c r="D18" s="132"/>
      <c r="F18" s="128" t="s">
        <v>15</v>
      </c>
      <c r="G18" s="129">
        <v>25000</v>
      </c>
    </row>
    <row r="19" spans="2:11" ht="15.6" thickBot="1">
      <c r="B19" s="152" t="s">
        <v>11</v>
      </c>
      <c r="C19" s="153">
        <f>SUM(C15:C18)</f>
        <v>55000</v>
      </c>
      <c r="D19" s="135"/>
      <c r="F19" s="133" t="s">
        <v>11</v>
      </c>
      <c r="G19" s="134">
        <f>SUM(G15:G18)</f>
        <v>25000</v>
      </c>
    </row>
    <row r="20" spans="2:11">
      <c r="B20" s="172" t="s">
        <v>16</v>
      </c>
      <c r="C20" s="173"/>
      <c r="D20" s="136"/>
      <c r="F20" s="172" t="s">
        <v>16</v>
      </c>
      <c r="G20" s="173"/>
    </row>
    <row r="21" spans="2:11">
      <c r="B21" s="151" t="s">
        <v>17</v>
      </c>
      <c r="C21" s="151">
        <v>1000</v>
      </c>
      <c r="D21" s="136"/>
      <c r="F21" s="128" t="s">
        <v>17</v>
      </c>
      <c r="G21" s="129">
        <v>1000</v>
      </c>
    </row>
    <row r="22" spans="2:11">
      <c r="B22" s="151" t="s">
        <v>33</v>
      </c>
      <c r="C22" s="151">
        <v>1500</v>
      </c>
      <c r="D22" s="136"/>
      <c r="F22" s="128" t="s">
        <v>33</v>
      </c>
      <c r="G22" s="129">
        <v>1500</v>
      </c>
    </row>
    <row r="23" spans="2:11">
      <c r="B23" s="152" t="s">
        <v>11</v>
      </c>
      <c r="C23" s="153">
        <f>SUM(C21:C22)</f>
        <v>2500</v>
      </c>
      <c r="D23" s="137"/>
      <c r="F23" s="152" t="s">
        <v>11</v>
      </c>
      <c r="G23" s="153">
        <f>SUM(G21:G22)</f>
        <v>2500</v>
      </c>
    </row>
    <row r="24" spans="2:11">
      <c r="B24" s="174" t="s">
        <v>18</v>
      </c>
      <c r="C24" s="175"/>
      <c r="D24" s="138"/>
      <c r="F24" s="174" t="s">
        <v>18</v>
      </c>
      <c r="G24" s="175"/>
    </row>
    <row r="25" spans="2:11">
      <c r="B25" s="151" t="s">
        <v>19</v>
      </c>
      <c r="C25" s="151">
        <v>20000</v>
      </c>
      <c r="D25" s="139"/>
      <c r="F25" s="128" t="s">
        <v>19</v>
      </c>
      <c r="G25" s="129">
        <v>50000</v>
      </c>
      <c r="I25" s="143"/>
      <c r="J25" s="143"/>
      <c r="K25" s="143"/>
    </row>
    <row r="26" spans="2:11">
      <c r="B26" s="151" t="s">
        <v>94</v>
      </c>
      <c r="C26" s="151">
        <v>25000</v>
      </c>
      <c r="D26" s="139"/>
      <c r="F26" s="128" t="s">
        <v>94</v>
      </c>
      <c r="G26" s="129">
        <v>35000</v>
      </c>
      <c r="I26" s="143"/>
      <c r="J26" s="143"/>
      <c r="K26" s="143"/>
    </row>
    <row r="27" spans="2:11">
      <c r="B27" s="151" t="s">
        <v>110</v>
      </c>
      <c r="C27" s="151">
        <v>20000</v>
      </c>
      <c r="D27" s="139"/>
      <c r="F27" s="128" t="s">
        <v>110</v>
      </c>
      <c r="G27" s="129"/>
      <c r="I27" s="143"/>
      <c r="J27" s="143"/>
      <c r="K27" s="143"/>
    </row>
    <row r="28" spans="2:11">
      <c r="B28" s="152" t="s">
        <v>11</v>
      </c>
      <c r="C28" s="153">
        <f>SUM(C25:C27)</f>
        <v>65000</v>
      </c>
      <c r="D28" s="140"/>
      <c r="F28" s="152" t="s">
        <v>11</v>
      </c>
      <c r="G28" s="153">
        <f>SUM(G25:G27)</f>
        <v>85000</v>
      </c>
      <c r="H28" s="143"/>
      <c r="I28" s="143"/>
      <c r="J28" s="143"/>
    </row>
    <row r="29" spans="2:11">
      <c r="B29" s="176"/>
      <c r="C29" s="177"/>
      <c r="F29" s="178"/>
      <c r="G29" s="179"/>
    </row>
    <row r="30" spans="2:11">
      <c r="B30" s="154" t="s">
        <v>20</v>
      </c>
      <c r="C30" s="155">
        <f>SUM(C19,C13,C23,C28)</f>
        <v>203500</v>
      </c>
      <c r="D30" s="140"/>
      <c r="F30" s="154" t="s">
        <v>20</v>
      </c>
      <c r="G30" s="155">
        <f>SUM(G19,G13,G23,G28)</f>
        <v>152500</v>
      </c>
      <c r="H30" s="143"/>
    </row>
    <row r="31" spans="2:11" ht="15.6" thickBot="1">
      <c r="H31" s="143"/>
    </row>
    <row r="32" spans="2:11">
      <c r="B32" s="145" t="s">
        <v>21</v>
      </c>
      <c r="C32" s="146">
        <v>100000</v>
      </c>
      <c r="F32" s="156" t="s">
        <v>22</v>
      </c>
      <c r="G32" s="157">
        <f>158686+2500</f>
        <v>161186</v>
      </c>
    </row>
    <row r="33" spans="2:9">
      <c r="B33" s="147" t="s">
        <v>23</v>
      </c>
      <c r="C33" s="148"/>
      <c r="F33" s="158" t="s">
        <v>24</v>
      </c>
      <c r="G33" s="159">
        <f>67000+2500</f>
        <v>69500</v>
      </c>
    </row>
    <row r="34" spans="2:9" ht="15.6" thickBot="1">
      <c r="B34" s="147" t="s">
        <v>26</v>
      </c>
      <c r="C34" s="148">
        <v>0</v>
      </c>
      <c r="F34" s="160" t="s">
        <v>27</v>
      </c>
      <c r="G34" s="161">
        <f>SUM(G32:G33)</f>
        <v>230686</v>
      </c>
    </row>
    <row r="35" spans="2:9" ht="15.6" thickBot="1">
      <c r="B35" s="149" t="s">
        <v>11</v>
      </c>
      <c r="C35" s="150">
        <f>SUM(C32:C34)</f>
        <v>100000</v>
      </c>
    </row>
    <row r="36" spans="2:9">
      <c r="B36" s="141" t="s">
        <v>28</v>
      </c>
      <c r="C36" s="141">
        <f>G30</f>
        <v>152500</v>
      </c>
    </row>
    <row r="38" spans="2:9">
      <c r="B38" s="141" t="s">
        <v>36</v>
      </c>
      <c r="C38" s="144">
        <f>C35-C36</f>
        <v>-52500</v>
      </c>
    </row>
    <row r="40" spans="2:9">
      <c r="D40" s="144"/>
    </row>
    <row r="43" spans="2:9">
      <c r="I43" s="141" t="s">
        <v>7</v>
      </c>
    </row>
  </sheetData>
  <mergeCells count="12">
    <mergeCell ref="B2:C2"/>
    <mergeCell ref="F2:G2"/>
    <mergeCell ref="B3:C3"/>
    <mergeCell ref="F3:G3"/>
    <mergeCell ref="B14:C14"/>
    <mergeCell ref="F14:G14"/>
    <mergeCell ref="B20:C20"/>
    <mergeCell ref="F20:G20"/>
    <mergeCell ref="B24:C24"/>
    <mergeCell ref="F24:G24"/>
    <mergeCell ref="B29:C29"/>
    <mergeCell ref="F29:G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5DA4-E8CB-4778-BC90-63EDFA25C4A5}">
  <dimension ref="B1:K42"/>
  <sheetViews>
    <sheetView workbookViewId="0">
      <selection activeCell="C1" sqref="C1"/>
    </sheetView>
  </sheetViews>
  <sheetFormatPr defaultColWidth="9.109375" defaultRowHeight="15"/>
  <cols>
    <col min="1" max="1" width="3.77734375" style="141" customWidth="1"/>
    <col min="2" max="2" width="14" style="141" bestFit="1" customWidth="1"/>
    <col min="3" max="3" width="9.109375" style="141" customWidth="1"/>
    <col min="4" max="4" width="6.5546875" style="141" customWidth="1"/>
    <col min="5" max="5" width="5.88671875" style="141" customWidth="1"/>
    <col min="6" max="6" width="13.109375" style="141" customWidth="1"/>
    <col min="7" max="7" width="8.77734375" style="141" customWidth="1"/>
    <col min="8" max="8" width="7" style="141" customWidth="1"/>
    <col min="9" max="9" width="7.5546875" style="141" customWidth="1"/>
    <col min="10" max="10" width="7.77734375" style="141" customWidth="1"/>
    <col min="11" max="14" width="9.109375" style="141"/>
    <col min="15" max="15" width="10.21875" style="141" bestFit="1" customWidth="1"/>
    <col min="16" max="16384" width="9.109375" style="141"/>
  </cols>
  <sheetData>
    <row r="1" spans="2:9" ht="7.5" customHeight="1" thickBot="1"/>
    <row r="2" spans="2:9">
      <c r="B2" s="180" t="s">
        <v>209</v>
      </c>
      <c r="C2" s="180"/>
      <c r="D2" s="130"/>
      <c r="F2" s="181" t="s">
        <v>208</v>
      </c>
      <c r="G2" s="182"/>
    </row>
    <row r="3" spans="2:9">
      <c r="B3" s="183" t="s">
        <v>0</v>
      </c>
      <c r="C3" s="184"/>
      <c r="D3" s="130"/>
      <c r="F3" s="183" t="s">
        <v>0</v>
      </c>
      <c r="G3" s="184"/>
    </row>
    <row r="4" spans="2:9">
      <c r="B4" s="151" t="s">
        <v>25</v>
      </c>
      <c r="C4" s="151">
        <v>18000</v>
      </c>
      <c r="D4" s="130"/>
      <c r="F4" s="128" t="s">
        <v>25</v>
      </c>
      <c r="G4" s="129">
        <v>0</v>
      </c>
    </row>
    <row r="5" spans="2:9">
      <c r="B5" s="151" t="s">
        <v>1</v>
      </c>
      <c r="C5" s="151">
        <v>15000</v>
      </c>
      <c r="D5" s="130"/>
      <c r="F5" s="128" t="s">
        <v>1</v>
      </c>
      <c r="G5" s="129">
        <v>0</v>
      </c>
      <c r="H5" s="142"/>
      <c r="I5" s="142"/>
    </row>
    <row r="6" spans="2:9">
      <c r="B6" s="151" t="s">
        <v>2</v>
      </c>
      <c r="C6" s="151">
        <v>3000</v>
      </c>
      <c r="D6" s="130"/>
      <c r="F6" s="128" t="s">
        <v>3</v>
      </c>
      <c r="G6" s="129">
        <v>0</v>
      </c>
      <c r="H6" s="141">
        <f>45*55</f>
        <v>2475</v>
      </c>
    </row>
    <row r="7" spans="2:9">
      <c r="B7" s="151" t="s">
        <v>4</v>
      </c>
      <c r="C7" s="151">
        <v>5000</v>
      </c>
      <c r="D7" s="130"/>
      <c r="F7" s="128" t="s">
        <v>4</v>
      </c>
      <c r="G7" s="129">
        <v>0</v>
      </c>
    </row>
    <row r="8" spans="2:9">
      <c r="B8" s="151" t="s">
        <v>5</v>
      </c>
      <c r="C8" s="151">
        <v>4000</v>
      </c>
      <c r="D8" s="130"/>
      <c r="F8" s="128" t="s">
        <v>5</v>
      </c>
      <c r="G8" s="129">
        <v>0</v>
      </c>
      <c r="I8" s="142"/>
    </row>
    <row r="9" spans="2:9">
      <c r="B9" s="151" t="s">
        <v>6</v>
      </c>
      <c r="C9" s="151">
        <v>3000</v>
      </c>
      <c r="D9" s="130"/>
      <c r="F9" s="128" t="s">
        <v>6</v>
      </c>
      <c r="G9" s="129">
        <v>0</v>
      </c>
      <c r="H9" s="142"/>
    </row>
    <row r="10" spans="2:9">
      <c r="B10" s="151" t="s">
        <v>8</v>
      </c>
      <c r="C10" s="151">
        <v>25000</v>
      </c>
      <c r="D10" s="130"/>
      <c r="F10" s="128" t="s">
        <v>8</v>
      </c>
      <c r="G10" s="129">
        <v>5000</v>
      </c>
      <c r="H10" s="142"/>
      <c r="I10" s="142"/>
    </row>
    <row r="11" spans="2:9">
      <c r="B11" s="151" t="s">
        <v>29</v>
      </c>
      <c r="C11" s="151">
        <v>3000</v>
      </c>
      <c r="D11" s="130"/>
      <c r="F11" s="128" t="s">
        <v>29</v>
      </c>
      <c r="G11" s="129">
        <v>0</v>
      </c>
      <c r="H11" s="142"/>
    </row>
    <row r="12" spans="2:9">
      <c r="B12" s="151" t="s">
        <v>10</v>
      </c>
      <c r="C12" s="151">
        <v>5000</v>
      </c>
      <c r="D12" s="130"/>
      <c r="F12" s="128" t="s">
        <v>10</v>
      </c>
      <c r="G12" s="129">
        <v>0</v>
      </c>
    </row>
    <row r="13" spans="2:9">
      <c r="B13" s="152" t="s">
        <v>11</v>
      </c>
      <c r="C13" s="153">
        <f>SUM(C4:C12)</f>
        <v>81000</v>
      </c>
      <c r="D13" s="131"/>
      <c r="F13" s="152" t="s">
        <v>11</v>
      </c>
      <c r="G13" s="153">
        <f>SUM(G4:G12)</f>
        <v>5000</v>
      </c>
    </row>
    <row r="14" spans="2:9">
      <c r="B14" s="185" t="s">
        <v>12</v>
      </c>
      <c r="C14" s="186"/>
      <c r="D14" s="132"/>
      <c r="F14" s="185" t="s">
        <v>12</v>
      </c>
      <c r="G14" s="186"/>
    </row>
    <row r="15" spans="2:9">
      <c r="B15" s="151" t="s">
        <v>13</v>
      </c>
      <c r="C15" s="151">
        <v>5000</v>
      </c>
      <c r="D15" s="132"/>
      <c r="F15" s="128" t="s">
        <v>13</v>
      </c>
      <c r="G15" s="129">
        <v>0</v>
      </c>
      <c r="I15" s="141" t="s">
        <v>199</v>
      </c>
    </row>
    <row r="16" spans="2:9">
      <c r="B16" s="151" t="s">
        <v>14</v>
      </c>
      <c r="C16" s="151">
        <v>20000</v>
      </c>
      <c r="D16" s="132"/>
      <c r="F16" s="128" t="s">
        <v>14</v>
      </c>
      <c r="G16" s="129">
        <v>0</v>
      </c>
    </row>
    <row r="17" spans="2:11" ht="15.6" thickBot="1">
      <c r="B17" s="151" t="s">
        <v>15</v>
      </c>
      <c r="C17" s="151">
        <v>25000</v>
      </c>
      <c r="D17" s="132"/>
      <c r="F17" s="128" t="s">
        <v>15</v>
      </c>
      <c r="G17" s="129">
        <v>0</v>
      </c>
    </row>
    <row r="18" spans="2:11" ht="15.6" thickBot="1">
      <c r="B18" s="152" t="s">
        <v>11</v>
      </c>
      <c r="C18" s="153">
        <f>SUM(C15:C17)</f>
        <v>50000</v>
      </c>
      <c r="D18" s="135"/>
      <c r="F18" s="133" t="s">
        <v>11</v>
      </c>
      <c r="G18" s="134">
        <f>SUM(G15:G17)</f>
        <v>0</v>
      </c>
    </row>
    <row r="19" spans="2:11">
      <c r="B19" s="172" t="s">
        <v>16</v>
      </c>
      <c r="C19" s="173"/>
      <c r="D19" s="136"/>
      <c r="F19" s="172" t="s">
        <v>16</v>
      </c>
      <c r="G19" s="173"/>
    </row>
    <row r="20" spans="2:11">
      <c r="B20" s="151" t="s">
        <v>17</v>
      </c>
      <c r="C20" s="151">
        <v>1000</v>
      </c>
      <c r="D20" s="136"/>
      <c r="F20" s="128" t="s">
        <v>17</v>
      </c>
      <c r="G20" s="129">
        <v>0</v>
      </c>
    </row>
    <row r="21" spans="2:11">
      <c r="B21" s="151" t="s">
        <v>33</v>
      </c>
      <c r="C21" s="151">
        <v>1500</v>
      </c>
      <c r="D21" s="136"/>
      <c r="F21" s="128" t="s">
        <v>33</v>
      </c>
      <c r="G21" s="129">
        <v>0</v>
      </c>
    </row>
    <row r="22" spans="2:11">
      <c r="B22" s="152" t="s">
        <v>11</v>
      </c>
      <c r="C22" s="153">
        <f>SUM(C20:C21)</f>
        <v>2500</v>
      </c>
      <c r="D22" s="137"/>
      <c r="F22" s="152" t="s">
        <v>11</v>
      </c>
      <c r="G22" s="153">
        <f>SUM(G20:G21)</f>
        <v>0</v>
      </c>
    </row>
    <row r="23" spans="2:11">
      <c r="B23" s="174" t="s">
        <v>18</v>
      </c>
      <c r="C23" s="175"/>
      <c r="D23" s="138"/>
      <c r="F23" s="174" t="s">
        <v>18</v>
      </c>
      <c r="G23" s="175"/>
    </row>
    <row r="24" spans="2:11">
      <c r="B24" s="151" t="s">
        <v>19</v>
      </c>
      <c r="C24" s="151">
        <v>20000</v>
      </c>
      <c r="D24" s="139"/>
      <c r="F24" s="128" t="s">
        <v>19</v>
      </c>
      <c r="G24" s="129">
        <v>0</v>
      </c>
      <c r="I24" s="143"/>
      <c r="J24" s="143"/>
      <c r="K24" s="143"/>
    </row>
    <row r="25" spans="2:11">
      <c r="B25" s="151" t="s">
        <v>94</v>
      </c>
      <c r="C25" s="151">
        <v>25000</v>
      </c>
      <c r="D25" s="139"/>
      <c r="F25" s="128" t="s">
        <v>94</v>
      </c>
      <c r="G25" s="129">
        <v>0</v>
      </c>
      <c r="I25" s="143"/>
      <c r="J25" s="143"/>
      <c r="K25" s="143"/>
    </row>
    <row r="26" spans="2:11">
      <c r="B26" s="151" t="s">
        <v>110</v>
      </c>
      <c r="C26" s="151">
        <v>20000</v>
      </c>
      <c r="D26" s="139"/>
      <c r="F26" s="128" t="s">
        <v>110</v>
      </c>
      <c r="G26" s="129">
        <v>0</v>
      </c>
      <c r="I26" s="143"/>
      <c r="J26" s="143"/>
      <c r="K26" s="143"/>
    </row>
    <row r="27" spans="2:11">
      <c r="B27" s="152" t="s">
        <v>11</v>
      </c>
      <c r="C27" s="153">
        <f>SUM(C24:C26)</f>
        <v>65000</v>
      </c>
      <c r="D27" s="140"/>
      <c r="F27" s="152" t="s">
        <v>11</v>
      </c>
      <c r="G27" s="153">
        <f>SUM(G24:G26)</f>
        <v>0</v>
      </c>
      <c r="H27" s="143"/>
      <c r="I27" s="143"/>
      <c r="J27" s="143"/>
    </row>
    <row r="28" spans="2:11">
      <c r="B28" s="176"/>
      <c r="C28" s="177"/>
      <c r="F28" s="178"/>
      <c r="G28" s="179"/>
    </row>
    <row r="29" spans="2:11">
      <c r="B29" s="154" t="s">
        <v>20</v>
      </c>
      <c r="C29" s="155">
        <f>SUM(C18,C13,C22,C27)</f>
        <v>198500</v>
      </c>
      <c r="D29" s="140"/>
      <c r="F29" s="154" t="s">
        <v>20</v>
      </c>
      <c r="G29" s="155">
        <f>SUM(G18,G13,G22,G27)</f>
        <v>5000</v>
      </c>
      <c r="H29" s="143"/>
    </row>
    <row r="30" spans="2:11" ht="15.6" thickBot="1">
      <c r="H30" s="143"/>
    </row>
    <row r="31" spans="2:11">
      <c r="B31" s="145" t="s">
        <v>21</v>
      </c>
      <c r="C31" s="146">
        <v>1000</v>
      </c>
      <c r="F31" s="156" t="s">
        <v>22</v>
      </c>
      <c r="G31" s="157">
        <f>158686+2500</f>
        <v>161186</v>
      </c>
    </row>
    <row r="32" spans="2:11">
      <c r="B32" s="147" t="s">
        <v>23</v>
      </c>
      <c r="C32" s="148">
        <v>5000</v>
      </c>
      <c r="F32" s="158" t="s">
        <v>24</v>
      </c>
      <c r="G32" s="159">
        <f>67000+2500</f>
        <v>69500</v>
      </c>
    </row>
    <row r="33" spans="2:9" ht="15.6" thickBot="1">
      <c r="B33" s="147" t="s">
        <v>26</v>
      </c>
      <c r="C33" s="148">
        <v>0</v>
      </c>
      <c r="F33" s="160" t="s">
        <v>27</v>
      </c>
      <c r="G33" s="161">
        <f>SUM(G31:G32)</f>
        <v>230686</v>
      </c>
    </row>
    <row r="34" spans="2:9" ht="15.6" thickBot="1">
      <c r="B34" s="149" t="s">
        <v>11</v>
      </c>
      <c r="C34" s="150">
        <f>SUM(C31:C33)</f>
        <v>6000</v>
      </c>
    </row>
    <row r="35" spans="2:9">
      <c r="B35" s="141" t="s">
        <v>28</v>
      </c>
      <c r="C35" s="141">
        <f>G29</f>
        <v>5000</v>
      </c>
    </row>
    <row r="37" spans="2:9">
      <c r="B37" s="141" t="s">
        <v>36</v>
      </c>
      <c r="C37" s="144">
        <f>C34-C35</f>
        <v>1000</v>
      </c>
    </row>
    <row r="39" spans="2:9">
      <c r="D39" s="144"/>
    </row>
    <row r="42" spans="2:9">
      <c r="I42" s="141" t="s">
        <v>7</v>
      </c>
    </row>
  </sheetData>
  <mergeCells count="12">
    <mergeCell ref="B2:C2"/>
    <mergeCell ref="F2:G2"/>
    <mergeCell ref="B3:C3"/>
    <mergeCell ref="F3:G3"/>
    <mergeCell ref="B14:C14"/>
    <mergeCell ref="F14:G14"/>
    <mergeCell ref="B19:C19"/>
    <mergeCell ref="F19:G19"/>
    <mergeCell ref="B23:C23"/>
    <mergeCell ref="F23:G23"/>
    <mergeCell ref="B28:C28"/>
    <mergeCell ref="F28:G2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7DF9-A1DB-4F97-98FE-619B2E5E7269}">
  <dimension ref="B1:K43"/>
  <sheetViews>
    <sheetView topLeftCell="A24" zoomScaleNormal="100" workbookViewId="0">
      <selection activeCell="G10" sqref="G10"/>
    </sheetView>
  </sheetViews>
  <sheetFormatPr defaultColWidth="9.109375" defaultRowHeight="15"/>
  <cols>
    <col min="1" max="1" width="3.77734375" style="141" customWidth="1"/>
    <col min="2" max="2" width="14" style="141" bestFit="1" customWidth="1"/>
    <col min="3" max="3" width="9.109375" style="141" customWidth="1"/>
    <col min="4" max="4" width="6.5546875" style="141" customWidth="1"/>
    <col min="5" max="5" width="5.88671875" style="141" customWidth="1"/>
    <col min="6" max="6" width="13.109375" style="141" customWidth="1"/>
    <col min="7" max="7" width="8.77734375" style="141" customWidth="1"/>
    <col min="8" max="8" width="7" style="141" customWidth="1"/>
    <col min="9" max="9" width="7.5546875" style="141" customWidth="1"/>
    <col min="10" max="10" width="7.77734375" style="141" customWidth="1"/>
    <col min="11" max="14" width="9.109375" style="141"/>
    <col min="15" max="15" width="10.21875" style="141" bestFit="1" customWidth="1"/>
    <col min="16" max="16384" width="9.109375" style="141"/>
  </cols>
  <sheetData>
    <row r="1" spans="2:9" ht="7.5" customHeight="1" thickBot="1"/>
    <row r="2" spans="2:9">
      <c r="B2" s="180" t="s">
        <v>213</v>
      </c>
      <c r="C2" s="180"/>
      <c r="D2" s="130"/>
      <c r="F2" s="181" t="s">
        <v>214</v>
      </c>
      <c r="G2" s="182"/>
    </row>
    <row r="3" spans="2:9">
      <c r="B3" s="183" t="s">
        <v>0</v>
      </c>
      <c r="C3" s="184"/>
      <c r="D3" s="130"/>
      <c r="F3" s="183" t="s">
        <v>0</v>
      </c>
      <c r="G3" s="184"/>
    </row>
    <row r="4" spans="2:9">
      <c r="B4" s="151" t="s">
        <v>25</v>
      </c>
      <c r="C4" s="151">
        <v>18000</v>
      </c>
      <c r="D4" s="130"/>
      <c r="F4" s="128" t="s">
        <v>25</v>
      </c>
      <c r="G4" s="129">
        <v>0</v>
      </c>
    </row>
    <row r="5" spans="2:9">
      <c r="B5" s="151" t="s">
        <v>1</v>
      </c>
      <c r="C5" s="151">
        <v>15000</v>
      </c>
      <c r="D5" s="130"/>
      <c r="F5" s="128" t="s">
        <v>1</v>
      </c>
      <c r="G5" s="129">
        <v>10000</v>
      </c>
      <c r="H5" s="142"/>
      <c r="I5" s="142"/>
    </row>
    <row r="6" spans="2:9">
      <c r="B6" s="151" t="s">
        <v>2</v>
      </c>
      <c r="C6" s="151">
        <v>3000</v>
      </c>
      <c r="D6" s="130"/>
      <c r="F6" s="128" t="s">
        <v>3</v>
      </c>
      <c r="G6" s="129">
        <v>0</v>
      </c>
      <c r="H6" s="141">
        <f>45*55</f>
        <v>2475</v>
      </c>
    </row>
    <row r="7" spans="2:9">
      <c r="B7" s="151" t="s">
        <v>4</v>
      </c>
      <c r="C7" s="151">
        <v>5000</v>
      </c>
      <c r="D7" s="130"/>
      <c r="F7" s="128" t="s">
        <v>4</v>
      </c>
      <c r="G7" s="129">
        <v>5000</v>
      </c>
    </row>
    <row r="8" spans="2:9">
      <c r="B8" s="151" t="s">
        <v>5</v>
      </c>
      <c r="C8" s="151">
        <v>4000</v>
      </c>
      <c r="D8" s="130"/>
      <c r="F8" s="128" t="s">
        <v>5</v>
      </c>
      <c r="G8" s="129">
        <v>4000</v>
      </c>
      <c r="I8" s="142"/>
    </row>
    <row r="9" spans="2:9">
      <c r="B9" s="151" t="s">
        <v>6</v>
      </c>
      <c r="C9" s="151">
        <v>3000</v>
      </c>
      <c r="D9" s="130"/>
      <c r="F9" s="128" t="s">
        <v>6</v>
      </c>
      <c r="G9" s="129">
        <v>3000</v>
      </c>
      <c r="H9" s="142"/>
    </row>
    <row r="10" spans="2:9">
      <c r="B10" s="151" t="s">
        <v>8</v>
      </c>
      <c r="C10" s="151">
        <v>25000</v>
      </c>
      <c r="D10" s="130"/>
      <c r="F10" s="128" t="s">
        <v>8</v>
      </c>
      <c r="G10" s="129">
        <v>15000</v>
      </c>
      <c r="H10" s="142"/>
      <c r="I10" s="142"/>
    </row>
    <row r="11" spans="2:9">
      <c r="B11" s="151" t="s">
        <v>9</v>
      </c>
      <c r="C11" s="151">
        <v>5000</v>
      </c>
      <c r="D11" s="130"/>
      <c r="F11" s="128" t="s">
        <v>9</v>
      </c>
      <c r="G11" s="129">
        <v>0</v>
      </c>
      <c r="H11" s="142"/>
      <c r="I11" s="142"/>
    </row>
    <row r="12" spans="2:9">
      <c r="B12" s="151" t="s">
        <v>29</v>
      </c>
      <c r="C12" s="151">
        <v>3000</v>
      </c>
      <c r="D12" s="130"/>
      <c r="F12" s="128" t="s">
        <v>29</v>
      </c>
      <c r="G12" s="129">
        <v>0</v>
      </c>
      <c r="H12" s="142"/>
    </row>
    <row r="13" spans="2:9">
      <c r="B13" s="151" t="s">
        <v>10</v>
      </c>
      <c r="C13" s="151">
        <v>5000</v>
      </c>
      <c r="D13" s="130"/>
      <c r="F13" s="128" t="s">
        <v>10</v>
      </c>
      <c r="G13" s="129">
        <v>0</v>
      </c>
    </row>
    <row r="14" spans="2:9">
      <c r="B14" s="152" t="s">
        <v>11</v>
      </c>
      <c r="C14" s="153">
        <f>SUM(C4:C13)</f>
        <v>86000</v>
      </c>
      <c r="D14" s="131"/>
      <c r="F14" s="152" t="s">
        <v>11</v>
      </c>
      <c r="G14" s="153">
        <f>SUM(G4:G13)</f>
        <v>37000</v>
      </c>
    </row>
    <row r="15" spans="2:9">
      <c r="B15" s="185" t="s">
        <v>12</v>
      </c>
      <c r="C15" s="186"/>
      <c r="D15" s="132"/>
      <c r="F15" s="185" t="s">
        <v>12</v>
      </c>
      <c r="G15" s="186"/>
    </row>
    <row r="16" spans="2:9">
      <c r="B16" s="151" t="s">
        <v>13</v>
      </c>
      <c r="C16" s="151">
        <v>5000</v>
      </c>
      <c r="D16" s="132"/>
      <c r="F16" s="128" t="s">
        <v>13</v>
      </c>
      <c r="G16" s="129">
        <v>0</v>
      </c>
      <c r="I16" s="141" t="s">
        <v>199</v>
      </c>
    </row>
    <row r="17" spans="2:11">
      <c r="B17" s="151" t="s">
        <v>14</v>
      </c>
      <c r="C17" s="151">
        <v>20000</v>
      </c>
      <c r="D17" s="132"/>
      <c r="F17" s="128" t="s">
        <v>14</v>
      </c>
      <c r="G17" s="129">
        <v>0</v>
      </c>
    </row>
    <row r="18" spans="2:11" ht="15.6" thickBot="1">
      <c r="B18" s="151" t="s">
        <v>15</v>
      </c>
      <c r="C18" s="151">
        <v>25000</v>
      </c>
      <c r="D18" s="132"/>
      <c r="F18" s="128" t="s">
        <v>15</v>
      </c>
      <c r="G18" s="129">
        <v>25000</v>
      </c>
    </row>
    <row r="19" spans="2:11" ht="15.6" thickBot="1">
      <c r="B19" s="152" t="s">
        <v>11</v>
      </c>
      <c r="C19" s="153">
        <f>SUM(C16:C18)</f>
        <v>50000</v>
      </c>
      <c r="D19" s="135"/>
      <c r="F19" s="133" t="s">
        <v>11</v>
      </c>
      <c r="G19" s="134">
        <f>SUM(G16:G18)</f>
        <v>25000</v>
      </c>
    </row>
    <row r="20" spans="2:11">
      <c r="B20" s="172" t="s">
        <v>16</v>
      </c>
      <c r="C20" s="173"/>
      <c r="D20" s="136"/>
      <c r="F20" s="172" t="s">
        <v>16</v>
      </c>
      <c r="G20" s="173"/>
    </row>
    <row r="21" spans="2:11">
      <c r="B21" s="151" t="s">
        <v>17</v>
      </c>
      <c r="C21" s="151">
        <v>1000</v>
      </c>
      <c r="D21" s="136"/>
      <c r="F21" s="128" t="s">
        <v>17</v>
      </c>
      <c r="G21" s="129">
        <v>1000</v>
      </c>
    </row>
    <row r="22" spans="2:11">
      <c r="B22" s="151" t="s">
        <v>33</v>
      </c>
      <c r="C22" s="151">
        <v>1500</v>
      </c>
      <c r="D22" s="136"/>
      <c r="F22" s="128" t="s">
        <v>33</v>
      </c>
      <c r="G22" s="129">
        <v>1500</v>
      </c>
    </row>
    <row r="23" spans="2:11">
      <c r="B23" s="152" t="s">
        <v>11</v>
      </c>
      <c r="C23" s="153">
        <f>SUM(C21:C22)</f>
        <v>2500</v>
      </c>
      <c r="D23" s="137"/>
      <c r="F23" s="152" t="s">
        <v>11</v>
      </c>
      <c r="G23" s="153">
        <f>SUM(G21:G22)</f>
        <v>2500</v>
      </c>
    </row>
    <row r="24" spans="2:11">
      <c r="B24" s="174" t="s">
        <v>18</v>
      </c>
      <c r="C24" s="175"/>
      <c r="D24" s="138"/>
      <c r="F24" s="174" t="s">
        <v>18</v>
      </c>
      <c r="G24" s="175"/>
    </row>
    <row r="25" spans="2:11">
      <c r="B25" s="151" t="s">
        <v>19</v>
      </c>
      <c r="C25" s="151">
        <v>20000</v>
      </c>
      <c r="D25" s="139"/>
      <c r="F25" s="128" t="s">
        <v>19</v>
      </c>
      <c r="G25" s="129">
        <v>5000</v>
      </c>
      <c r="I25" s="143"/>
      <c r="J25" s="143"/>
      <c r="K25" s="143"/>
    </row>
    <row r="26" spans="2:11">
      <c r="B26" s="151" t="s">
        <v>94</v>
      </c>
      <c r="C26" s="129">
        <v>35000</v>
      </c>
      <c r="D26" s="139"/>
      <c r="F26" s="128" t="s">
        <v>94</v>
      </c>
      <c r="G26" s="129">
        <v>0</v>
      </c>
      <c r="I26" s="143"/>
      <c r="J26" s="143"/>
      <c r="K26" s="143"/>
    </row>
    <row r="27" spans="2:11">
      <c r="B27" s="151" t="s">
        <v>110</v>
      </c>
      <c r="C27" s="151">
        <v>20000</v>
      </c>
      <c r="D27" s="139"/>
      <c r="F27" s="128" t="s">
        <v>110</v>
      </c>
      <c r="G27" s="129">
        <v>0</v>
      </c>
      <c r="I27" s="143"/>
      <c r="J27" s="143"/>
      <c r="K27" s="143"/>
    </row>
    <row r="28" spans="2:11">
      <c r="B28" s="152" t="s">
        <v>11</v>
      </c>
      <c r="C28" s="153">
        <f>SUM(C25:C27)</f>
        <v>75000</v>
      </c>
      <c r="D28" s="140"/>
      <c r="F28" s="152" t="s">
        <v>11</v>
      </c>
      <c r="G28" s="153">
        <f>SUM(G25:G27)</f>
        <v>5000</v>
      </c>
      <c r="H28" s="143"/>
      <c r="I28" s="143"/>
      <c r="J28" s="143"/>
    </row>
    <row r="29" spans="2:11">
      <c r="B29" s="176"/>
      <c r="C29" s="177"/>
      <c r="F29" s="178"/>
      <c r="G29" s="179"/>
    </row>
    <row r="30" spans="2:11">
      <c r="B30" s="154" t="s">
        <v>20</v>
      </c>
      <c r="C30" s="155">
        <f>SUM(C19,C14,C23,C28)</f>
        <v>213500</v>
      </c>
      <c r="D30" s="140"/>
      <c r="F30" s="154" t="s">
        <v>20</v>
      </c>
      <c r="G30" s="155">
        <f>SUM(G19,G14,G23,G28)</f>
        <v>69500</v>
      </c>
      <c r="H30" s="143"/>
    </row>
    <row r="31" spans="2:11" ht="15.6" thickBot="1">
      <c r="H31" s="143"/>
    </row>
    <row r="32" spans="2:11">
      <c r="B32" s="145" t="s">
        <v>21</v>
      </c>
      <c r="C32" s="146">
        <v>33500</v>
      </c>
      <c r="F32" s="156" t="s">
        <v>22</v>
      </c>
      <c r="G32" s="157">
        <f>158686+2500</f>
        <v>161186</v>
      </c>
    </row>
    <row r="33" spans="2:9">
      <c r="B33" s="147" t="s">
        <v>23</v>
      </c>
      <c r="C33" s="148">
        <v>0</v>
      </c>
      <c r="F33" s="158" t="s">
        <v>24</v>
      </c>
      <c r="G33" s="159">
        <f>67000+2500</f>
        <v>69500</v>
      </c>
    </row>
    <row r="34" spans="2:9" ht="15.6" thickBot="1">
      <c r="B34" s="147" t="s">
        <v>26</v>
      </c>
      <c r="C34" s="148">
        <v>0</v>
      </c>
      <c r="F34" s="160" t="s">
        <v>27</v>
      </c>
      <c r="G34" s="161">
        <f>SUM(G32:G33)</f>
        <v>230686</v>
      </c>
    </row>
    <row r="35" spans="2:9" ht="15.6" thickBot="1">
      <c r="B35" s="149" t="s">
        <v>11</v>
      </c>
      <c r="C35" s="150">
        <f>SUM(C32:C34)</f>
        <v>33500</v>
      </c>
    </row>
    <row r="36" spans="2:9">
      <c r="B36" s="141" t="s">
        <v>28</v>
      </c>
      <c r="C36" s="141">
        <f>G30</f>
        <v>69500</v>
      </c>
    </row>
    <row r="38" spans="2:9">
      <c r="B38" s="141" t="s">
        <v>36</v>
      </c>
      <c r="C38" s="144">
        <f>C35-C36</f>
        <v>-36000</v>
      </c>
    </row>
    <row r="40" spans="2:9">
      <c r="D40" s="144"/>
    </row>
    <row r="43" spans="2:9">
      <c r="I43" s="141" t="s">
        <v>7</v>
      </c>
    </row>
  </sheetData>
  <mergeCells count="12">
    <mergeCell ref="B2:C2"/>
    <mergeCell ref="F2:G2"/>
    <mergeCell ref="B3:C3"/>
    <mergeCell ref="F3:G3"/>
    <mergeCell ref="B15:C15"/>
    <mergeCell ref="F15:G15"/>
    <mergeCell ref="B20:C20"/>
    <mergeCell ref="F20:G20"/>
    <mergeCell ref="B24:C24"/>
    <mergeCell ref="F24:G24"/>
    <mergeCell ref="B29:C29"/>
    <mergeCell ref="F29:G2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FF4E-F168-464D-AA1E-6D2ED002D0B4}">
  <dimension ref="B1:K43"/>
  <sheetViews>
    <sheetView topLeftCell="A19" zoomScaleNormal="100" workbookViewId="0">
      <selection activeCell="C33" sqref="C33"/>
    </sheetView>
  </sheetViews>
  <sheetFormatPr defaultColWidth="9.109375" defaultRowHeight="15"/>
  <cols>
    <col min="1" max="1" width="3.77734375" style="141" customWidth="1"/>
    <col min="2" max="2" width="14" style="141" bestFit="1" customWidth="1"/>
    <col min="3" max="3" width="9.109375" style="141" customWidth="1"/>
    <col min="4" max="4" width="6.5546875" style="141" customWidth="1"/>
    <col min="5" max="5" width="5.88671875" style="141" customWidth="1"/>
    <col min="6" max="6" width="13.109375" style="141" customWidth="1"/>
    <col min="7" max="7" width="8.77734375" style="141" customWidth="1"/>
    <col min="8" max="8" width="7" style="141" customWidth="1"/>
    <col min="9" max="9" width="7.5546875" style="141" customWidth="1"/>
    <col min="10" max="10" width="7.77734375" style="141" customWidth="1"/>
    <col min="11" max="14" width="9.109375" style="141"/>
    <col min="15" max="15" width="10.21875" style="141" bestFit="1" customWidth="1"/>
    <col min="16" max="16384" width="9.109375" style="141"/>
  </cols>
  <sheetData>
    <row r="1" spans="2:9" ht="7.5" customHeight="1" thickBot="1"/>
    <row r="2" spans="2:9">
      <c r="B2" s="180" t="s">
        <v>216</v>
      </c>
      <c r="C2" s="180"/>
      <c r="D2" s="130"/>
      <c r="F2" s="181" t="s">
        <v>217</v>
      </c>
      <c r="G2" s="182"/>
    </row>
    <row r="3" spans="2:9">
      <c r="B3" s="183" t="s">
        <v>0</v>
      </c>
      <c r="C3" s="184"/>
      <c r="D3" s="130"/>
      <c r="F3" s="183" t="s">
        <v>0</v>
      </c>
      <c r="G3" s="184"/>
    </row>
    <row r="4" spans="2:9">
      <c r="B4" s="151" t="s">
        <v>25</v>
      </c>
      <c r="C4" s="151">
        <v>18000</v>
      </c>
      <c r="D4" s="130"/>
      <c r="F4" s="128" t="s">
        <v>25</v>
      </c>
      <c r="G4" s="129"/>
    </row>
    <row r="5" spans="2:9">
      <c r="B5" s="151" t="s">
        <v>1</v>
      </c>
      <c r="C5" s="151">
        <v>15000</v>
      </c>
      <c r="D5" s="130"/>
      <c r="F5" s="128" t="s">
        <v>1</v>
      </c>
      <c r="G5" s="129">
        <v>0</v>
      </c>
      <c r="H5" s="142"/>
      <c r="I5" s="142"/>
    </row>
    <row r="6" spans="2:9">
      <c r="B6" s="151" t="s">
        <v>2</v>
      </c>
      <c r="C6" s="151">
        <v>3000</v>
      </c>
      <c r="D6" s="130"/>
      <c r="F6" s="128" t="s">
        <v>3</v>
      </c>
      <c r="G6" s="129">
        <v>1000</v>
      </c>
      <c r="H6" s="141">
        <f>45*55</f>
        <v>2475</v>
      </c>
    </row>
    <row r="7" spans="2:9">
      <c r="B7" s="151" t="s">
        <v>4</v>
      </c>
      <c r="C7" s="151">
        <v>5000</v>
      </c>
      <c r="D7" s="130"/>
      <c r="F7" s="128" t="s">
        <v>4</v>
      </c>
      <c r="G7" s="129">
        <v>2000</v>
      </c>
    </row>
    <row r="8" spans="2:9">
      <c r="B8" s="151" t="s">
        <v>5</v>
      </c>
      <c r="C8" s="151">
        <v>4000</v>
      </c>
      <c r="D8" s="130"/>
      <c r="F8" s="128" t="s">
        <v>5</v>
      </c>
      <c r="G8" s="129">
        <v>2000</v>
      </c>
      <c r="I8" s="142"/>
    </row>
    <row r="9" spans="2:9">
      <c r="B9" s="151" t="s">
        <v>6</v>
      </c>
      <c r="C9" s="151">
        <v>3000</v>
      </c>
      <c r="D9" s="130"/>
      <c r="F9" s="128" t="s">
        <v>6</v>
      </c>
      <c r="G9" s="129">
        <v>1000</v>
      </c>
      <c r="H9" s="142"/>
    </row>
    <row r="10" spans="2:9">
      <c r="B10" s="151" t="s">
        <v>8</v>
      </c>
      <c r="C10" s="151">
        <v>25000</v>
      </c>
      <c r="D10" s="130"/>
      <c r="F10" s="128" t="s">
        <v>8</v>
      </c>
      <c r="G10" s="129">
        <v>5000</v>
      </c>
      <c r="H10" s="142"/>
      <c r="I10" s="142"/>
    </row>
    <row r="11" spans="2:9">
      <c r="B11" s="151" t="s">
        <v>9</v>
      </c>
      <c r="C11" s="151">
        <v>5000</v>
      </c>
      <c r="D11" s="130"/>
      <c r="F11" s="128" t="s">
        <v>9</v>
      </c>
      <c r="G11" s="129">
        <v>0</v>
      </c>
      <c r="H11" s="142"/>
      <c r="I11" s="142"/>
    </row>
    <row r="12" spans="2:9">
      <c r="B12" s="151" t="s">
        <v>29</v>
      </c>
      <c r="C12" s="151">
        <v>3000</v>
      </c>
      <c r="D12" s="130"/>
      <c r="F12" s="128" t="s">
        <v>29</v>
      </c>
      <c r="G12" s="129">
        <v>0</v>
      </c>
      <c r="H12" s="142"/>
    </row>
    <row r="13" spans="2:9">
      <c r="B13" s="151" t="s">
        <v>10</v>
      </c>
      <c r="C13" s="151">
        <v>5000</v>
      </c>
      <c r="D13" s="130"/>
      <c r="F13" s="128" t="s">
        <v>10</v>
      </c>
      <c r="G13" s="129">
        <v>5000</v>
      </c>
    </row>
    <row r="14" spans="2:9">
      <c r="B14" s="152" t="s">
        <v>11</v>
      </c>
      <c r="C14" s="153">
        <f>SUM(C4:C13)</f>
        <v>86000</v>
      </c>
      <c r="D14" s="131"/>
      <c r="F14" s="152" t="s">
        <v>11</v>
      </c>
      <c r="G14" s="153">
        <f>SUM(G4:G13)</f>
        <v>16000</v>
      </c>
    </row>
    <row r="15" spans="2:9">
      <c r="B15" s="185" t="s">
        <v>12</v>
      </c>
      <c r="C15" s="186"/>
      <c r="D15" s="132"/>
      <c r="F15" s="185" t="s">
        <v>12</v>
      </c>
      <c r="G15" s="186"/>
    </row>
    <row r="16" spans="2:9">
      <c r="B16" s="151" t="s">
        <v>13</v>
      </c>
      <c r="C16" s="151">
        <v>5000</v>
      </c>
      <c r="D16" s="132"/>
      <c r="F16" s="128" t="s">
        <v>13</v>
      </c>
      <c r="G16" s="129">
        <v>0</v>
      </c>
      <c r="I16" s="141" t="s">
        <v>199</v>
      </c>
    </row>
    <row r="17" spans="2:11">
      <c r="B17" s="151" t="s">
        <v>14</v>
      </c>
      <c r="C17" s="151">
        <v>20000</v>
      </c>
      <c r="D17" s="132"/>
      <c r="F17" s="128" t="s">
        <v>14</v>
      </c>
      <c r="G17" s="129">
        <v>0</v>
      </c>
    </row>
    <row r="18" spans="2:11" ht="15.6" thickBot="1">
      <c r="B18" s="151" t="s">
        <v>15</v>
      </c>
      <c r="C18" s="151">
        <v>25000</v>
      </c>
      <c r="D18" s="132"/>
      <c r="F18" s="128" t="s">
        <v>15</v>
      </c>
      <c r="G18" s="129">
        <v>0</v>
      </c>
    </row>
    <row r="19" spans="2:11" ht="15.6" thickBot="1">
      <c r="B19" s="152" t="s">
        <v>11</v>
      </c>
      <c r="C19" s="153">
        <f>SUM(C16:C18)</f>
        <v>50000</v>
      </c>
      <c r="D19" s="135"/>
      <c r="F19" s="133" t="s">
        <v>11</v>
      </c>
      <c r="G19" s="134">
        <f>SUM(G16:G18)</f>
        <v>0</v>
      </c>
    </row>
    <row r="20" spans="2:11">
      <c r="B20" s="172" t="s">
        <v>16</v>
      </c>
      <c r="C20" s="173"/>
      <c r="D20" s="136"/>
      <c r="F20" s="172" t="s">
        <v>16</v>
      </c>
      <c r="G20" s="173"/>
    </row>
    <row r="21" spans="2:11">
      <c r="B21" s="151" t="s">
        <v>17</v>
      </c>
      <c r="C21" s="151">
        <v>1000</v>
      </c>
      <c r="D21" s="136"/>
      <c r="F21" s="128" t="s">
        <v>17</v>
      </c>
      <c r="G21" s="129">
        <v>0</v>
      </c>
    </row>
    <row r="22" spans="2:11">
      <c r="B22" s="151" t="s">
        <v>33</v>
      </c>
      <c r="C22" s="151">
        <v>1500</v>
      </c>
      <c r="D22" s="136"/>
      <c r="F22" s="128" t="s">
        <v>33</v>
      </c>
      <c r="G22" s="129">
        <v>0</v>
      </c>
    </row>
    <row r="23" spans="2:11">
      <c r="B23" s="152" t="s">
        <v>11</v>
      </c>
      <c r="C23" s="153">
        <f>SUM(C21:C22)</f>
        <v>2500</v>
      </c>
      <c r="D23" s="137"/>
      <c r="F23" s="152" t="s">
        <v>11</v>
      </c>
      <c r="G23" s="153">
        <f>SUM(G21:G22)</f>
        <v>0</v>
      </c>
    </row>
    <row r="24" spans="2:11">
      <c r="B24" s="174" t="s">
        <v>18</v>
      </c>
      <c r="C24" s="175"/>
      <c r="D24" s="138"/>
      <c r="F24" s="174" t="s">
        <v>18</v>
      </c>
      <c r="G24" s="175"/>
    </row>
    <row r="25" spans="2:11">
      <c r="B25" s="151" t="s">
        <v>19</v>
      </c>
      <c r="C25" s="151">
        <v>20000</v>
      </c>
      <c r="D25" s="139"/>
      <c r="F25" s="128" t="s">
        <v>19</v>
      </c>
      <c r="G25" s="129">
        <v>0</v>
      </c>
      <c r="I25" s="143"/>
      <c r="J25" s="143"/>
      <c r="K25" s="143"/>
    </row>
    <row r="26" spans="2:11">
      <c r="B26" s="151" t="s">
        <v>94</v>
      </c>
      <c r="C26" s="129">
        <v>35000</v>
      </c>
      <c r="D26" s="139"/>
      <c r="F26" s="128" t="s">
        <v>94</v>
      </c>
      <c r="G26" s="129">
        <v>0</v>
      </c>
      <c r="I26" s="143"/>
      <c r="J26" s="143"/>
      <c r="K26" s="143"/>
    </row>
    <row r="27" spans="2:11">
      <c r="B27" s="151" t="s">
        <v>110</v>
      </c>
      <c r="C27" s="151">
        <v>20000</v>
      </c>
      <c r="D27" s="139"/>
      <c r="F27" s="128" t="s">
        <v>110</v>
      </c>
      <c r="G27" s="129"/>
      <c r="I27" s="143"/>
      <c r="J27" s="143"/>
      <c r="K27" s="143"/>
    </row>
    <row r="28" spans="2:11">
      <c r="B28" s="152" t="s">
        <v>11</v>
      </c>
      <c r="C28" s="153">
        <f>SUM(C25:C27)</f>
        <v>75000</v>
      </c>
      <c r="D28" s="140"/>
      <c r="F28" s="152" t="s">
        <v>11</v>
      </c>
      <c r="G28" s="153">
        <f>SUM(G25:G27)</f>
        <v>0</v>
      </c>
      <c r="H28" s="143"/>
      <c r="I28" s="143"/>
      <c r="J28" s="143"/>
    </row>
    <row r="29" spans="2:11">
      <c r="B29" s="176"/>
      <c r="C29" s="177"/>
      <c r="F29" s="178"/>
      <c r="G29" s="179"/>
    </row>
    <row r="30" spans="2:11">
      <c r="B30" s="154" t="s">
        <v>20</v>
      </c>
      <c r="C30" s="155">
        <f>SUM(C19,C14,C23,C28)</f>
        <v>213500</v>
      </c>
      <c r="D30" s="140"/>
      <c r="F30" s="154" t="s">
        <v>20</v>
      </c>
      <c r="G30" s="155">
        <f>SUM(G19,G14,G23,G28)</f>
        <v>16000</v>
      </c>
      <c r="H30" s="143"/>
    </row>
    <row r="31" spans="2:11" ht="15.6" thickBot="1">
      <c r="H31" s="143"/>
    </row>
    <row r="32" spans="2:11">
      <c r="B32" s="145" t="s">
        <v>21</v>
      </c>
      <c r="C32" s="146">
        <v>20000</v>
      </c>
      <c r="F32" s="156" t="s">
        <v>22</v>
      </c>
      <c r="G32" s="157">
        <f>158686+2500</f>
        <v>161186</v>
      </c>
    </row>
    <row r="33" spans="2:9">
      <c r="B33" s="147" t="s">
        <v>23</v>
      </c>
      <c r="C33" s="148">
        <v>0</v>
      </c>
      <c r="F33" s="158" t="s">
        <v>24</v>
      </c>
      <c r="G33" s="159">
        <f>67000+2500</f>
        <v>69500</v>
      </c>
    </row>
    <row r="34" spans="2:9" ht="15.6" thickBot="1">
      <c r="B34" s="147" t="s">
        <v>26</v>
      </c>
      <c r="C34" s="148">
        <v>0</v>
      </c>
      <c r="F34" s="160" t="s">
        <v>27</v>
      </c>
      <c r="G34" s="161">
        <f>SUM(G32:G33)</f>
        <v>230686</v>
      </c>
    </row>
    <row r="35" spans="2:9" ht="15.6" thickBot="1">
      <c r="B35" s="149" t="s">
        <v>11</v>
      </c>
      <c r="C35" s="150">
        <f>SUM(C32:C34)</f>
        <v>20000</v>
      </c>
    </row>
    <row r="36" spans="2:9">
      <c r="B36" s="141" t="s">
        <v>28</v>
      </c>
      <c r="C36" s="141">
        <f>G30</f>
        <v>16000</v>
      </c>
    </row>
    <row r="38" spans="2:9">
      <c r="B38" s="141" t="s">
        <v>36</v>
      </c>
      <c r="C38" s="144">
        <f>C35-C36</f>
        <v>4000</v>
      </c>
    </row>
    <row r="40" spans="2:9">
      <c r="D40" s="144"/>
    </row>
    <row r="43" spans="2:9">
      <c r="I43" s="141" t="s">
        <v>7</v>
      </c>
    </row>
  </sheetData>
  <mergeCells count="12">
    <mergeCell ref="B2:C2"/>
    <mergeCell ref="F2:G2"/>
    <mergeCell ref="B3:C3"/>
    <mergeCell ref="F3:G3"/>
    <mergeCell ref="B15:C15"/>
    <mergeCell ref="F15:G15"/>
    <mergeCell ref="B20:C20"/>
    <mergeCell ref="F20:G20"/>
    <mergeCell ref="B24:C24"/>
    <mergeCell ref="F24:G24"/>
    <mergeCell ref="B29:C29"/>
    <mergeCell ref="F29:G2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26F7-9C17-497C-8C13-2BD2AF9B2D28}">
  <dimension ref="B1:K43"/>
  <sheetViews>
    <sheetView topLeftCell="A19" zoomScaleNormal="100" workbookViewId="0">
      <selection activeCell="C34" sqref="C34"/>
    </sheetView>
  </sheetViews>
  <sheetFormatPr defaultColWidth="9.109375" defaultRowHeight="15"/>
  <cols>
    <col min="1" max="1" width="3.77734375" style="141" customWidth="1"/>
    <col min="2" max="2" width="14" style="141" bestFit="1" customWidth="1"/>
    <col min="3" max="3" width="9.109375" style="141" customWidth="1"/>
    <col min="4" max="4" width="6.5546875" style="141" customWidth="1"/>
    <col min="5" max="5" width="5.88671875" style="141" customWidth="1"/>
    <col min="6" max="6" width="13.109375" style="141" customWidth="1"/>
    <col min="7" max="7" width="8.77734375" style="141" customWidth="1"/>
    <col min="8" max="8" width="7" style="141" customWidth="1"/>
    <col min="9" max="9" width="7.5546875" style="141" customWidth="1"/>
    <col min="10" max="10" width="7.77734375" style="141" customWidth="1"/>
    <col min="11" max="14" width="9.109375" style="141"/>
    <col min="15" max="15" width="10.21875" style="141" bestFit="1" customWidth="1"/>
    <col min="16" max="16384" width="9.109375" style="141"/>
  </cols>
  <sheetData>
    <row r="1" spans="2:9" ht="7.5" customHeight="1" thickBot="1"/>
    <row r="2" spans="2:9">
      <c r="B2" s="180" t="s">
        <v>242</v>
      </c>
      <c r="C2" s="180"/>
      <c r="D2" s="130"/>
      <c r="F2" s="181" t="s">
        <v>243</v>
      </c>
      <c r="G2" s="182"/>
    </row>
    <row r="3" spans="2:9">
      <c r="B3" s="183" t="s">
        <v>0</v>
      </c>
      <c r="C3" s="184"/>
      <c r="D3" s="130"/>
      <c r="F3" s="183" t="s">
        <v>0</v>
      </c>
      <c r="G3" s="184"/>
    </row>
    <row r="4" spans="2:9">
      <c r="B4" s="151" t="s">
        <v>25</v>
      </c>
      <c r="C4" s="151">
        <v>18000</v>
      </c>
      <c r="D4" s="130"/>
      <c r="F4" s="128" t="s">
        <v>25</v>
      </c>
      <c r="G4" s="151">
        <v>0</v>
      </c>
    </row>
    <row r="5" spans="2:9">
      <c r="B5" s="151" t="s">
        <v>1</v>
      </c>
      <c r="C5" s="151">
        <v>15000</v>
      </c>
      <c r="D5" s="130"/>
      <c r="F5" s="128" t="s">
        <v>1</v>
      </c>
      <c r="G5" s="151">
        <v>10000</v>
      </c>
      <c r="H5" s="142"/>
      <c r="I5" s="142"/>
    </row>
    <row r="6" spans="2:9">
      <c r="B6" s="151" t="s">
        <v>2</v>
      </c>
      <c r="C6" s="151">
        <v>3000</v>
      </c>
      <c r="D6" s="130"/>
      <c r="F6" s="128" t="s">
        <v>3</v>
      </c>
      <c r="G6" s="151">
        <v>3000</v>
      </c>
      <c r="H6" s="141">
        <f>45*55</f>
        <v>2475</v>
      </c>
    </row>
    <row r="7" spans="2:9">
      <c r="B7" s="151" t="s">
        <v>4</v>
      </c>
      <c r="C7" s="151">
        <v>5000</v>
      </c>
      <c r="D7" s="130"/>
      <c r="F7" s="128" t="s">
        <v>4</v>
      </c>
      <c r="G7" s="151">
        <v>5000</v>
      </c>
    </row>
    <row r="8" spans="2:9">
      <c r="B8" s="151" t="s">
        <v>5</v>
      </c>
      <c r="C8" s="151">
        <v>4000</v>
      </c>
      <c r="D8" s="130"/>
      <c r="F8" s="128" t="s">
        <v>5</v>
      </c>
      <c r="G8" s="151">
        <v>4000</v>
      </c>
      <c r="I8" s="142"/>
    </row>
    <row r="9" spans="2:9">
      <c r="B9" s="151" t="s">
        <v>6</v>
      </c>
      <c r="C9" s="151">
        <v>3000</v>
      </c>
      <c r="D9" s="130"/>
      <c r="F9" s="128" t="s">
        <v>6</v>
      </c>
      <c r="G9" s="151">
        <v>3000</v>
      </c>
      <c r="H9" s="142"/>
    </row>
    <row r="10" spans="2:9">
      <c r="B10" s="151" t="s">
        <v>8</v>
      </c>
      <c r="C10" s="151">
        <v>25000</v>
      </c>
      <c r="D10" s="130"/>
      <c r="F10" s="128" t="s">
        <v>8</v>
      </c>
      <c r="G10" s="151">
        <v>15000</v>
      </c>
      <c r="H10" s="142"/>
      <c r="I10" s="142"/>
    </row>
    <row r="11" spans="2:9">
      <c r="B11" s="151" t="s">
        <v>9</v>
      </c>
      <c r="C11" s="151">
        <v>5000</v>
      </c>
      <c r="D11" s="130"/>
      <c r="F11" s="128" t="s">
        <v>9</v>
      </c>
      <c r="G11" s="151">
        <v>0</v>
      </c>
      <c r="H11" s="142"/>
      <c r="I11" s="142"/>
    </row>
    <row r="12" spans="2:9">
      <c r="B12" s="151" t="s">
        <v>29</v>
      </c>
      <c r="C12" s="151">
        <v>3000</v>
      </c>
      <c r="D12" s="130"/>
      <c r="F12" s="128" t="s">
        <v>29</v>
      </c>
      <c r="G12" s="151">
        <v>0</v>
      </c>
      <c r="H12" s="142"/>
    </row>
    <row r="13" spans="2:9">
      <c r="B13" s="151" t="s">
        <v>10</v>
      </c>
      <c r="C13" s="151">
        <v>5000</v>
      </c>
      <c r="D13" s="130"/>
      <c r="F13" s="128" t="s">
        <v>10</v>
      </c>
      <c r="G13" s="151">
        <v>0</v>
      </c>
    </row>
    <row r="14" spans="2:9">
      <c r="B14" s="152" t="s">
        <v>11</v>
      </c>
      <c r="C14" s="153">
        <f>SUM(C4:C13)</f>
        <v>86000</v>
      </c>
      <c r="D14" s="131"/>
      <c r="F14" s="152" t="s">
        <v>11</v>
      </c>
      <c r="G14" s="153">
        <f>SUM(G4:G13)</f>
        <v>40000</v>
      </c>
    </row>
    <row r="15" spans="2:9">
      <c r="B15" s="185" t="s">
        <v>12</v>
      </c>
      <c r="C15" s="186"/>
      <c r="D15" s="132"/>
      <c r="F15" s="185" t="s">
        <v>12</v>
      </c>
      <c r="G15" s="186"/>
    </row>
    <row r="16" spans="2:9">
      <c r="B16" s="151" t="s">
        <v>13</v>
      </c>
      <c r="C16" s="151">
        <v>5000</v>
      </c>
      <c r="D16" s="132"/>
      <c r="F16" s="128" t="s">
        <v>13</v>
      </c>
      <c r="G16" s="151">
        <v>0</v>
      </c>
      <c r="I16" s="141" t="s">
        <v>199</v>
      </c>
    </row>
    <row r="17" spans="2:11">
      <c r="B17" s="151" t="s">
        <v>14</v>
      </c>
      <c r="C17" s="151">
        <v>20000</v>
      </c>
      <c r="D17" s="132"/>
      <c r="F17" s="128" t="s">
        <v>14</v>
      </c>
      <c r="G17" s="151">
        <v>0</v>
      </c>
    </row>
    <row r="18" spans="2:11" ht="15.6" thickBot="1">
      <c r="B18" s="151" t="s">
        <v>15</v>
      </c>
      <c r="C18" s="151">
        <v>25000</v>
      </c>
      <c r="D18" s="132"/>
      <c r="F18" s="128" t="s">
        <v>15</v>
      </c>
      <c r="G18" s="151">
        <v>0</v>
      </c>
    </row>
    <row r="19" spans="2:11" ht="15.6" thickBot="1">
      <c r="B19" s="152" t="s">
        <v>11</v>
      </c>
      <c r="C19" s="153">
        <f>SUM(C16:C18)</f>
        <v>50000</v>
      </c>
      <c r="D19" s="135"/>
      <c r="F19" s="133" t="s">
        <v>11</v>
      </c>
      <c r="G19" s="134">
        <f>SUM(G16:G18)</f>
        <v>0</v>
      </c>
    </row>
    <row r="20" spans="2:11">
      <c r="B20" s="172" t="s">
        <v>16</v>
      </c>
      <c r="C20" s="173"/>
      <c r="D20" s="136"/>
      <c r="F20" s="172" t="s">
        <v>16</v>
      </c>
      <c r="G20" s="173"/>
    </row>
    <row r="21" spans="2:11">
      <c r="B21" s="151" t="s">
        <v>17</v>
      </c>
      <c r="C21" s="151">
        <v>1000</v>
      </c>
      <c r="D21" s="136"/>
      <c r="F21" s="128" t="s">
        <v>17</v>
      </c>
      <c r="G21" s="129">
        <v>1000</v>
      </c>
    </row>
    <row r="22" spans="2:11">
      <c r="B22" s="151" t="s">
        <v>33</v>
      </c>
      <c r="C22" s="151">
        <v>1500</v>
      </c>
      <c r="D22" s="136"/>
      <c r="F22" s="128" t="s">
        <v>33</v>
      </c>
      <c r="G22" s="129">
        <v>1500</v>
      </c>
    </row>
    <row r="23" spans="2:11">
      <c r="B23" s="152" t="s">
        <v>11</v>
      </c>
      <c r="C23" s="153">
        <f>SUM(C21:C22)</f>
        <v>2500</v>
      </c>
      <c r="D23" s="137"/>
      <c r="F23" s="152" t="s">
        <v>11</v>
      </c>
      <c r="G23" s="153">
        <f>SUM(G21:G22)</f>
        <v>2500</v>
      </c>
    </row>
    <row r="24" spans="2:11">
      <c r="B24" s="174" t="s">
        <v>18</v>
      </c>
      <c r="C24" s="175"/>
      <c r="D24" s="138"/>
      <c r="F24" s="174" t="s">
        <v>18</v>
      </c>
      <c r="G24" s="175"/>
    </row>
    <row r="25" spans="2:11">
      <c r="B25" s="151" t="s">
        <v>19</v>
      </c>
      <c r="C25" s="151">
        <v>20000</v>
      </c>
      <c r="D25" s="139"/>
      <c r="F25" s="128" t="s">
        <v>19</v>
      </c>
      <c r="G25" s="129">
        <v>0</v>
      </c>
      <c r="I25" s="143"/>
      <c r="J25" s="143"/>
      <c r="K25" s="143"/>
    </row>
    <row r="26" spans="2:11">
      <c r="B26" s="151" t="s">
        <v>94</v>
      </c>
      <c r="C26" s="129">
        <v>33187</v>
      </c>
      <c r="D26" s="139"/>
      <c r="F26" s="128" t="s">
        <v>94</v>
      </c>
      <c r="G26" s="129">
        <v>0</v>
      </c>
      <c r="I26" s="143"/>
      <c r="J26" s="143"/>
      <c r="K26" s="143"/>
    </row>
    <row r="27" spans="2:11">
      <c r="B27" s="151" t="s">
        <v>110</v>
      </c>
      <c r="C27" s="151">
        <v>20000</v>
      </c>
      <c r="D27" s="139"/>
      <c r="F27" s="128" t="s">
        <v>110</v>
      </c>
      <c r="G27" s="129">
        <v>0</v>
      </c>
      <c r="I27" s="143"/>
      <c r="J27" s="143"/>
      <c r="K27" s="143"/>
    </row>
    <row r="28" spans="2:11">
      <c r="B28" s="152" t="s">
        <v>11</v>
      </c>
      <c r="C28" s="153">
        <f>SUM(C25:C27)</f>
        <v>73187</v>
      </c>
      <c r="D28" s="140"/>
      <c r="F28" s="152" t="s">
        <v>11</v>
      </c>
      <c r="G28" s="153">
        <f>SUM(G25:G27)</f>
        <v>0</v>
      </c>
      <c r="H28" s="143"/>
      <c r="I28" s="143"/>
      <c r="J28" s="143"/>
    </row>
    <row r="29" spans="2:11">
      <c r="B29" s="176"/>
      <c r="C29" s="177"/>
      <c r="F29" s="178"/>
      <c r="G29" s="179"/>
    </row>
    <row r="30" spans="2:11">
      <c r="B30" s="154" t="s">
        <v>20</v>
      </c>
      <c r="C30" s="155">
        <f>SUM(C19,C14,C23,C28)</f>
        <v>211687</v>
      </c>
      <c r="D30" s="140"/>
      <c r="F30" s="154" t="s">
        <v>20</v>
      </c>
      <c r="G30" s="155">
        <f>SUM(G19,G14,G23,G28)</f>
        <v>42500</v>
      </c>
      <c r="H30" s="143"/>
    </row>
    <row r="31" spans="2:11" ht="15.6" thickBot="1">
      <c r="H31" s="143"/>
    </row>
    <row r="32" spans="2:11">
      <c r="B32" s="145" t="s">
        <v>21</v>
      </c>
      <c r="C32" s="146">
        <v>50000</v>
      </c>
      <c r="F32" s="156" t="s">
        <v>22</v>
      </c>
      <c r="G32" s="157">
        <f>158686+2500</f>
        <v>161186</v>
      </c>
    </row>
    <row r="33" spans="2:9">
      <c r="B33" s="147" t="s">
        <v>23</v>
      </c>
      <c r="C33" s="148">
        <v>0</v>
      </c>
      <c r="F33" s="158" t="s">
        <v>24</v>
      </c>
      <c r="G33" s="159">
        <f>67000+2500</f>
        <v>69500</v>
      </c>
    </row>
    <row r="34" spans="2:9" ht="15.6" thickBot="1">
      <c r="B34" s="147" t="s">
        <v>26</v>
      </c>
      <c r="C34" s="148">
        <v>0</v>
      </c>
      <c r="F34" s="160" t="s">
        <v>27</v>
      </c>
      <c r="G34" s="161">
        <f>SUM(G32:G33)</f>
        <v>230686</v>
      </c>
    </row>
    <row r="35" spans="2:9" ht="15.6" thickBot="1">
      <c r="B35" s="149" t="s">
        <v>11</v>
      </c>
      <c r="C35" s="150">
        <f>SUM(C32:C34)</f>
        <v>50000</v>
      </c>
    </row>
    <row r="36" spans="2:9">
      <c r="B36" s="141" t="s">
        <v>28</v>
      </c>
      <c r="C36" s="141">
        <f>G30</f>
        <v>42500</v>
      </c>
    </row>
    <row r="38" spans="2:9">
      <c r="B38" s="141" t="s">
        <v>36</v>
      </c>
      <c r="C38" s="144">
        <f>C35-C36</f>
        <v>7500</v>
      </c>
    </row>
    <row r="40" spans="2:9">
      <c r="D40" s="144"/>
    </row>
    <row r="43" spans="2:9">
      <c r="I43" s="141" t="s">
        <v>7</v>
      </c>
    </row>
  </sheetData>
  <mergeCells count="12">
    <mergeCell ref="B2:C2"/>
    <mergeCell ref="F2:G2"/>
    <mergeCell ref="B3:C3"/>
    <mergeCell ref="F3:G3"/>
    <mergeCell ref="B15:C15"/>
    <mergeCell ref="F15:G15"/>
    <mergeCell ref="B20:C20"/>
    <mergeCell ref="F20:G20"/>
    <mergeCell ref="B24:C24"/>
    <mergeCell ref="F24:G24"/>
    <mergeCell ref="B29:C29"/>
    <mergeCell ref="F29:G2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C9F5-3E89-4E6B-8FA6-38D39897BA65}">
  <dimension ref="B1:K42"/>
  <sheetViews>
    <sheetView zoomScaleNormal="100" workbookViewId="0">
      <selection activeCell="C31" sqref="C31"/>
    </sheetView>
  </sheetViews>
  <sheetFormatPr defaultColWidth="9.109375" defaultRowHeight="15"/>
  <cols>
    <col min="1" max="1" width="3.77734375" style="141" customWidth="1"/>
    <col min="2" max="2" width="14" style="141" bestFit="1" customWidth="1"/>
    <col min="3" max="3" width="9.109375" style="141" customWidth="1"/>
    <col min="4" max="4" width="6.5546875" style="141" customWidth="1"/>
    <col min="5" max="5" width="5.88671875" style="141" customWidth="1"/>
    <col min="6" max="6" width="13.109375" style="141" customWidth="1"/>
    <col min="7" max="7" width="8.77734375" style="141" customWidth="1"/>
    <col min="8" max="8" width="7" style="141" customWidth="1"/>
    <col min="9" max="9" width="7.5546875" style="141" customWidth="1"/>
    <col min="10" max="10" width="7.77734375" style="141" customWidth="1"/>
    <col min="11" max="14" width="9.109375" style="141"/>
    <col min="15" max="15" width="10.21875" style="141" bestFit="1" customWidth="1"/>
    <col min="16" max="16384" width="9.109375" style="141"/>
  </cols>
  <sheetData>
    <row r="1" spans="2:9" ht="7.5" customHeight="1" thickBot="1"/>
    <row r="2" spans="2:9">
      <c r="B2" s="180" t="s">
        <v>248</v>
      </c>
      <c r="C2" s="180"/>
      <c r="D2" s="130"/>
      <c r="F2" s="181" t="s">
        <v>249</v>
      </c>
      <c r="G2" s="182"/>
    </row>
    <row r="3" spans="2:9">
      <c r="B3" s="183" t="s">
        <v>0</v>
      </c>
      <c r="C3" s="184"/>
      <c r="D3" s="130"/>
      <c r="F3" s="183" t="s">
        <v>0</v>
      </c>
      <c r="G3" s="184"/>
    </row>
    <row r="4" spans="2:9">
      <c r="B4" s="151" t="s">
        <v>1</v>
      </c>
      <c r="C4" s="151">
        <v>15000</v>
      </c>
      <c r="D4" s="130"/>
      <c r="F4" s="128" t="s">
        <v>1</v>
      </c>
      <c r="G4" s="151">
        <v>0</v>
      </c>
      <c r="H4" s="142"/>
      <c r="I4" s="142"/>
    </row>
    <row r="5" spans="2:9">
      <c r="B5" s="151" t="s">
        <v>2</v>
      </c>
      <c r="C5" s="151">
        <v>3000</v>
      </c>
      <c r="D5" s="130"/>
      <c r="F5" s="128" t="s">
        <v>3</v>
      </c>
      <c r="G5" s="151">
        <v>0</v>
      </c>
      <c r="H5" s="141">
        <f>45*55</f>
        <v>2475</v>
      </c>
    </row>
    <row r="6" spans="2:9">
      <c r="B6" s="151" t="s">
        <v>4</v>
      </c>
      <c r="C6" s="151">
        <v>5000</v>
      </c>
      <c r="D6" s="130"/>
      <c r="F6" s="128" t="s">
        <v>4</v>
      </c>
      <c r="G6" s="151">
        <v>0</v>
      </c>
    </row>
    <row r="7" spans="2:9">
      <c r="B7" s="151" t="s">
        <v>5</v>
      </c>
      <c r="C7" s="151">
        <v>4000</v>
      </c>
      <c r="D7" s="130"/>
      <c r="F7" s="128" t="s">
        <v>5</v>
      </c>
      <c r="G7" s="151">
        <v>0</v>
      </c>
      <c r="I7" s="142"/>
    </row>
    <row r="8" spans="2:9">
      <c r="B8" s="151" t="s">
        <v>6</v>
      </c>
      <c r="C8" s="151">
        <v>3000</v>
      </c>
      <c r="D8" s="130"/>
      <c r="F8" s="128" t="s">
        <v>6</v>
      </c>
      <c r="G8" s="151">
        <v>1000</v>
      </c>
      <c r="H8" s="142"/>
    </row>
    <row r="9" spans="2:9">
      <c r="B9" s="151" t="s">
        <v>8</v>
      </c>
      <c r="C9" s="151">
        <v>25000</v>
      </c>
      <c r="D9" s="130"/>
      <c r="F9" s="128" t="s">
        <v>8</v>
      </c>
      <c r="G9" s="151">
        <v>0</v>
      </c>
      <c r="H9" s="142"/>
      <c r="I9" s="142"/>
    </row>
    <row r="10" spans="2:9">
      <c r="B10" s="151" t="s">
        <v>9</v>
      </c>
      <c r="C10" s="151">
        <v>10000</v>
      </c>
      <c r="D10" s="130"/>
      <c r="F10" s="128" t="s">
        <v>9</v>
      </c>
      <c r="G10" s="151">
        <v>0</v>
      </c>
      <c r="H10" s="142"/>
      <c r="I10" s="142"/>
    </row>
    <row r="11" spans="2:9">
      <c r="B11" s="151" t="s">
        <v>29</v>
      </c>
      <c r="C11" s="151">
        <v>3000</v>
      </c>
      <c r="D11" s="130"/>
      <c r="F11" s="128" t="s">
        <v>29</v>
      </c>
      <c r="G11" s="151">
        <v>0</v>
      </c>
      <c r="H11" s="142"/>
    </row>
    <row r="12" spans="2:9">
      <c r="B12" s="151" t="s">
        <v>10</v>
      </c>
      <c r="C12" s="151">
        <v>5000</v>
      </c>
      <c r="D12" s="130"/>
      <c r="F12" s="128" t="s">
        <v>10</v>
      </c>
      <c r="G12" s="151">
        <v>0</v>
      </c>
    </row>
    <row r="13" spans="2:9">
      <c r="B13" s="152" t="s">
        <v>11</v>
      </c>
      <c r="C13" s="153">
        <f>SUM(C4:C12)</f>
        <v>73000</v>
      </c>
      <c r="D13" s="131"/>
      <c r="F13" s="152" t="s">
        <v>11</v>
      </c>
      <c r="G13" s="153">
        <f>SUM(G4:G12)</f>
        <v>1000</v>
      </c>
    </row>
    <row r="14" spans="2:9">
      <c r="B14" s="185" t="s">
        <v>12</v>
      </c>
      <c r="C14" s="186"/>
      <c r="D14" s="132"/>
      <c r="F14" s="185" t="s">
        <v>12</v>
      </c>
      <c r="G14" s="186"/>
    </row>
    <row r="15" spans="2:9">
      <c r="B15" s="151" t="s">
        <v>13</v>
      </c>
      <c r="C15" s="151">
        <v>5000</v>
      </c>
      <c r="D15" s="132"/>
      <c r="F15" s="128" t="s">
        <v>13</v>
      </c>
      <c r="G15" s="151">
        <v>0</v>
      </c>
      <c r="I15" s="141" t="s">
        <v>199</v>
      </c>
    </row>
    <row r="16" spans="2:9">
      <c r="B16" s="151" t="s">
        <v>250</v>
      </c>
      <c r="C16" s="151">
        <v>25000</v>
      </c>
      <c r="D16" s="132"/>
      <c r="F16" s="151" t="s">
        <v>250</v>
      </c>
      <c r="G16" s="151">
        <v>0</v>
      </c>
    </row>
    <row r="17" spans="2:11" ht="15.6" thickBot="1">
      <c r="B17" s="151" t="s">
        <v>15</v>
      </c>
      <c r="C17" s="151">
        <v>25000</v>
      </c>
      <c r="D17" s="132"/>
      <c r="F17" s="128" t="s">
        <v>15</v>
      </c>
      <c r="G17" s="151">
        <v>0</v>
      </c>
    </row>
    <row r="18" spans="2:11" ht="15.6" thickBot="1">
      <c r="B18" s="152" t="s">
        <v>11</v>
      </c>
      <c r="C18" s="153">
        <f>SUM(C15:C17)</f>
        <v>55000</v>
      </c>
      <c r="D18" s="135"/>
      <c r="F18" s="133" t="s">
        <v>11</v>
      </c>
      <c r="G18" s="134">
        <f>SUM(G15:G17)</f>
        <v>0</v>
      </c>
    </row>
    <row r="19" spans="2:11">
      <c r="B19" s="172" t="s">
        <v>16</v>
      </c>
      <c r="C19" s="173"/>
      <c r="D19" s="136"/>
      <c r="F19" s="172" t="s">
        <v>16</v>
      </c>
      <c r="G19" s="173"/>
    </row>
    <row r="20" spans="2:11">
      <c r="B20" s="151" t="s">
        <v>17</v>
      </c>
      <c r="C20" s="151">
        <v>1320</v>
      </c>
      <c r="D20" s="136"/>
      <c r="F20" s="128" t="s">
        <v>17</v>
      </c>
      <c r="G20" s="129">
        <v>0</v>
      </c>
    </row>
    <row r="21" spans="2:11">
      <c r="B21" s="151" t="s">
        <v>33</v>
      </c>
      <c r="C21" s="151">
        <v>1500</v>
      </c>
      <c r="D21" s="136"/>
      <c r="F21" s="128" t="s">
        <v>33</v>
      </c>
      <c r="G21" s="129">
        <v>0</v>
      </c>
    </row>
    <row r="22" spans="2:11">
      <c r="B22" s="152" t="s">
        <v>11</v>
      </c>
      <c r="C22" s="153">
        <f>SUM(C20:C21)</f>
        <v>2820</v>
      </c>
      <c r="D22" s="137"/>
      <c r="F22" s="152" t="s">
        <v>11</v>
      </c>
      <c r="G22" s="153">
        <f>SUM(G20:G21)</f>
        <v>0</v>
      </c>
    </row>
    <row r="23" spans="2:11">
      <c r="B23" s="174" t="s">
        <v>18</v>
      </c>
      <c r="C23" s="175"/>
      <c r="D23" s="138"/>
      <c r="F23" s="174" t="s">
        <v>18</v>
      </c>
      <c r="G23" s="175"/>
    </row>
    <row r="24" spans="2:11">
      <c r="B24" s="151" t="s">
        <v>19</v>
      </c>
      <c r="C24" s="151">
        <v>20000</v>
      </c>
      <c r="D24" s="139"/>
      <c r="F24" s="128" t="s">
        <v>19</v>
      </c>
      <c r="G24" s="151">
        <v>0</v>
      </c>
      <c r="I24" s="143"/>
      <c r="J24" s="143"/>
      <c r="K24" s="143"/>
    </row>
    <row r="25" spans="2:11">
      <c r="B25" s="151" t="s">
        <v>94</v>
      </c>
      <c r="C25" s="129">
        <f>31085 + 12080+16200</f>
        <v>59365</v>
      </c>
      <c r="D25" s="139"/>
      <c r="F25" s="128" t="s">
        <v>94</v>
      </c>
      <c r="G25" s="129">
        <v>0</v>
      </c>
      <c r="I25" s="143"/>
      <c r="J25" s="143"/>
      <c r="K25" s="143"/>
    </row>
    <row r="26" spans="2:11">
      <c r="B26" s="151" t="s">
        <v>110</v>
      </c>
      <c r="C26" s="151">
        <v>19440</v>
      </c>
      <c r="D26" s="139"/>
      <c r="F26" s="128" t="s">
        <v>110</v>
      </c>
      <c r="G26" s="151">
        <v>0</v>
      </c>
      <c r="I26" s="143"/>
      <c r="J26" s="143"/>
      <c r="K26" s="143"/>
    </row>
    <row r="27" spans="2:11">
      <c r="B27" s="152" t="s">
        <v>11</v>
      </c>
      <c r="C27" s="153">
        <f>SUM(C24:C26)</f>
        <v>98805</v>
      </c>
      <c r="D27" s="140"/>
      <c r="F27" s="152" t="s">
        <v>11</v>
      </c>
      <c r="G27" s="153">
        <f>SUM(G24:G26)</f>
        <v>0</v>
      </c>
      <c r="H27" s="143"/>
      <c r="I27" s="143"/>
      <c r="J27" s="143"/>
    </row>
    <row r="28" spans="2:11">
      <c r="B28" s="176"/>
      <c r="C28" s="177"/>
      <c r="F28" s="178"/>
      <c r="G28" s="179"/>
    </row>
    <row r="29" spans="2:11">
      <c r="B29" s="154" t="s">
        <v>20</v>
      </c>
      <c r="C29" s="155">
        <f>SUM(C18,C13,C22,C27)</f>
        <v>229625</v>
      </c>
      <c r="D29" s="140"/>
      <c r="F29" s="154" t="s">
        <v>20</v>
      </c>
      <c r="G29" s="155">
        <f>SUM(G18,G13,G22,G27)</f>
        <v>1000</v>
      </c>
      <c r="H29" s="143"/>
    </row>
    <row r="30" spans="2:11" ht="15.6" thickBot="1">
      <c r="H30" s="143"/>
    </row>
    <row r="31" spans="2:11">
      <c r="B31" s="145" t="s">
        <v>21</v>
      </c>
      <c r="C31" s="146">
        <v>1000</v>
      </c>
      <c r="F31" s="156" t="s">
        <v>22</v>
      </c>
      <c r="G31" s="157">
        <f>158686+2500</f>
        <v>161186</v>
      </c>
    </row>
    <row r="32" spans="2:11">
      <c r="B32" s="147" t="s">
        <v>23</v>
      </c>
      <c r="C32" s="148">
        <v>0</v>
      </c>
      <c r="F32" s="158" t="s">
        <v>24</v>
      </c>
      <c r="G32" s="159">
        <f>67000+2500</f>
        <v>69500</v>
      </c>
    </row>
    <row r="33" spans="2:9" ht="15.6" thickBot="1">
      <c r="B33" s="147" t="s">
        <v>26</v>
      </c>
      <c r="C33" s="148">
        <v>0</v>
      </c>
      <c r="F33" s="160" t="s">
        <v>27</v>
      </c>
      <c r="G33" s="161">
        <f>SUM(G31:G32)</f>
        <v>230686</v>
      </c>
    </row>
    <row r="34" spans="2:9" ht="15.6" thickBot="1">
      <c r="B34" s="149" t="s">
        <v>11</v>
      </c>
      <c r="C34" s="150">
        <f>SUM(C31:C33)</f>
        <v>1000</v>
      </c>
    </row>
    <row r="35" spans="2:9">
      <c r="B35" s="141" t="s">
        <v>28</v>
      </c>
      <c r="C35" s="141">
        <f>G29</f>
        <v>1000</v>
      </c>
    </row>
    <row r="37" spans="2:9">
      <c r="B37" s="141" t="s">
        <v>36</v>
      </c>
      <c r="C37" s="144">
        <f>C34-C35</f>
        <v>0</v>
      </c>
    </row>
    <row r="39" spans="2:9">
      <c r="D39" s="144"/>
    </row>
    <row r="42" spans="2:9">
      <c r="I42" s="141" t="s">
        <v>7</v>
      </c>
    </row>
  </sheetData>
  <mergeCells count="12">
    <mergeCell ref="B2:C2"/>
    <mergeCell ref="F2:G2"/>
    <mergeCell ref="B3:C3"/>
    <mergeCell ref="F3:G3"/>
    <mergeCell ref="B14:C14"/>
    <mergeCell ref="F14:G14"/>
    <mergeCell ref="B19:C19"/>
    <mergeCell ref="F19:G19"/>
    <mergeCell ref="B23:C23"/>
    <mergeCell ref="F23:G23"/>
    <mergeCell ref="B28:C28"/>
    <mergeCell ref="F28:G2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76D0-7AAF-4919-B2F4-9CCD98631B5F}">
  <dimension ref="B1:K42"/>
  <sheetViews>
    <sheetView zoomScaleNormal="100" workbookViewId="0">
      <selection activeCell="L22" sqref="L22"/>
    </sheetView>
  </sheetViews>
  <sheetFormatPr defaultColWidth="9.109375" defaultRowHeight="15"/>
  <cols>
    <col min="1" max="1" width="3.77734375" style="141" customWidth="1"/>
    <col min="2" max="2" width="14" style="141" bestFit="1" customWidth="1"/>
    <col min="3" max="3" width="9.109375" style="141" customWidth="1"/>
    <col min="4" max="4" width="6.5546875" style="141" customWidth="1"/>
    <col min="5" max="5" width="5.88671875" style="141" customWidth="1"/>
    <col min="6" max="6" width="13.109375" style="141" customWidth="1"/>
    <col min="7" max="7" width="8.77734375" style="141" customWidth="1"/>
    <col min="8" max="8" width="7" style="141" customWidth="1"/>
    <col min="9" max="9" width="7.5546875" style="141" customWidth="1"/>
    <col min="10" max="10" width="7.77734375" style="141" customWidth="1"/>
    <col min="11" max="14" width="9.109375" style="141"/>
    <col min="15" max="15" width="10.21875" style="141" bestFit="1" customWidth="1"/>
    <col min="16" max="16384" width="9.109375" style="141"/>
  </cols>
  <sheetData>
    <row r="1" spans="2:9" ht="7.5" customHeight="1" thickBot="1"/>
    <row r="2" spans="2:9">
      <c r="B2" s="180" t="s">
        <v>253</v>
      </c>
      <c r="C2" s="180"/>
      <c r="D2" s="130"/>
      <c r="F2" s="181" t="s">
        <v>254</v>
      </c>
      <c r="G2" s="182"/>
    </row>
    <row r="3" spans="2:9">
      <c r="B3" s="183" t="s">
        <v>0</v>
      </c>
      <c r="C3" s="184"/>
      <c r="D3" s="130"/>
      <c r="F3" s="183" t="s">
        <v>0</v>
      </c>
      <c r="G3" s="184"/>
    </row>
    <row r="4" spans="2:9">
      <c r="B4" s="151" t="s">
        <v>1</v>
      </c>
      <c r="C4" s="151">
        <v>15000</v>
      </c>
      <c r="D4" s="130"/>
      <c r="F4" s="128" t="s">
        <v>1</v>
      </c>
      <c r="G4" s="151">
        <v>15000</v>
      </c>
      <c r="H4" s="142"/>
      <c r="I4" s="142"/>
    </row>
    <row r="5" spans="2:9">
      <c r="B5" s="151" t="s">
        <v>2</v>
      </c>
      <c r="C5" s="151">
        <v>3000</v>
      </c>
      <c r="D5" s="130"/>
      <c r="F5" s="128" t="s">
        <v>3</v>
      </c>
      <c r="G5" s="151">
        <v>3000</v>
      </c>
      <c r="H5" s="141">
        <f>45*55</f>
        <v>2475</v>
      </c>
    </row>
    <row r="6" spans="2:9">
      <c r="B6" s="151" t="s">
        <v>4</v>
      </c>
      <c r="C6" s="151">
        <v>5000</v>
      </c>
      <c r="D6" s="130"/>
      <c r="F6" s="128" t="s">
        <v>4</v>
      </c>
      <c r="G6" s="151">
        <v>5000</v>
      </c>
    </row>
    <row r="7" spans="2:9">
      <c r="B7" s="151" t="s">
        <v>5</v>
      </c>
      <c r="C7" s="151">
        <v>4000</v>
      </c>
      <c r="D7" s="130"/>
      <c r="F7" s="128" t="s">
        <v>5</v>
      </c>
      <c r="G7" s="151">
        <v>4000</v>
      </c>
      <c r="I7" s="142"/>
    </row>
    <row r="8" spans="2:9">
      <c r="B8" s="151" t="s">
        <v>6</v>
      </c>
      <c r="C8" s="151">
        <v>3000</v>
      </c>
      <c r="D8" s="130"/>
      <c r="F8" s="128" t="s">
        <v>6</v>
      </c>
      <c r="G8" s="151">
        <v>3000</v>
      </c>
      <c r="H8" s="142"/>
    </row>
    <row r="9" spans="2:9">
      <c r="B9" s="151" t="s">
        <v>8</v>
      </c>
      <c r="C9" s="151">
        <v>25000</v>
      </c>
      <c r="D9" s="130"/>
      <c r="F9" s="128" t="s">
        <v>8</v>
      </c>
      <c r="G9" s="151">
        <v>25000</v>
      </c>
      <c r="H9" s="142"/>
      <c r="I9" s="142"/>
    </row>
    <row r="10" spans="2:9">
      <c r="B10" s="151" t="s">
        <v>9</v>
      </c>
      <c r="C10" s="151">
        <v>10000</v>
      </c>
      <c r="D10" s="130"/>
      <c r="F10" s="128" t="s">
        <v>9</v>
      </c>
      <c r="G10" s="151">
        <v>10000</v>
      </c>
      <c r="H10" s="142"/>
      <c r="I10" s="142"/>
    </row>
    <row r="11" spans="2:9">
      <c r="B11" s="151" t="s">
        <v>29</v>
      </c>
      <c r="C11" s="151">
        <v>1000</v>
      </c>
      <c r="D11" s="130"/>
      <c r="F11" s="128" t="s">
        <v>29</v>
      </c>
      <c r="G11" s="151">
        <v>1000</v>
      </c>
      <c r="H11" s="142"/>
    </row>
    <row r="12" spans="2:9">
      <c r="B12" s="151" t="s">
        <v>10</v>
      </c>
      <c r="C12" s="151">
        <v>5000</v>
      </c>
      <c r="D12" s="130"/>
      <c r="F12" s="128" t="s">
        <v>10</v>
      </c>
      <c r="G12" s="151">
        <v>5000</v>
      </c>
    </row>
    <row r="13" spans="2:9">
      <c r="B13" s="152" t="s">
        <v>11</v>
      </c>
      <c r="C13" s="153">
        <f>SUM(C4:C12)</f>
        <v>71000</v>
      </c>
      <c r="D13" s="131"/>
      <c r="F13" s="152" t="s">
        <v>11</v>
      </c>
      <c r="G13" s="153">
        <f>SUM(G4:G12)</f>
        <v>71000</v>
      </c>
    </row>
    <row r="14" spans="2:9">
      <c r="B14" s="185" t="s">
        <v>12</v>
      </c>
      <c r="C14" s="186"/>
      <c r="D14" s="132"/>
      <c r="F14" s="185" t="s">
        <v>12</v>
      </c>
      <c r="G14" s="186"/>
    </row>
    <row r="15" spans="2:9">
      <c r="B15" s="151" t="s">
        <v>13</v>
      </c>
      <c r="C15" s="151">
        <v>5000</v>
      </c>
      <c r="D15" s="132"/>
      <c r="F15" s="128" t="s">
        <v>13</v>
      </c>
      <c r="G15" s="151">
        <v>7000</v>
      </c>
      <c r="I15" s="141" t="s">
        <v>199</v>
      </c>
    </row>
    <row r="16" spans="2:9">
      <c r="B16" s="151" t="s">
        <v>250</v>
      </c>
      <c r="C16" s="151">
        <v>25000</v>
      </c>
      <c r="D16" s="132"/>
      <c r="F16" s="151" t="s">
        <v>250</v>
      </c>
      <c r="G16" s="151">
        <v>20000</v>
      </c>
    </row>
    <row r="17" spans="2:11" ht="15.6" thickBot="1">
      <c r="B17" s="151" t="s">
        <v>15</v>
      </c>
      <c r="C17" s="151">
        <v>25000</v>
      </c>
      <c r="D17" s="132"/>
      <c r="F17" s="128" t="s">
        <v>15</v>
      </c>
      <c r="G17" s="151">
        <v>25000</v>
      </c>
    </row>
    <row r="18" spans="2:11" ht="15.6" thickBot="1">
      <c r="B18" s="152" t="s">
        <v>11</v>
      </c>
      <c r="C18" s="153">
        <f>SUM(C15:C17)</f>
        <v>55000</v>
      </c>
      <c r="D18" s="135"/>
      <c r="F18" s="133" t="s">
        <v>11</v>
      </c>
      <c r="G18" s="134">
        <f>SUM(G15:G17)</f>
        <v>52000</v>
      </c>
    </row>
    <row r="19" spans="2:11">
      <c r="B19" s="172" t="s">
        <v>16</v>
      </c>
      <c r="C19" s="173"/>
      <c r="D19" s="136"/>
      <c r="F19" s="172" t="s">
        <v>16</v>
      </c>
      <c r="G19" s="173"/>
    </row>
    <row r="20" spans="2:11">
      <c r="B20" s="151" t="s">
        <v>17</v>
      </c>
      <c r="C20" s="151">
        <v>1320</v>
      </c>
      <c r="D20" s="136"/>
      <c r="F20" s="128" t="s">
        <v>17</v>
      </c>
      <c r="G20" s="129">
        <v>1500</v>
      </c>
    </row>
    <row r="21" spans="2:11">
      <c r="B21" s="151" t="s">
        <v>33</v>
      </c>
      <c r="C21" s="151">
        <v>1500</v>
      </c>
      <c r="D21" s="136"/>
      <c r="F21" s="128" t="s">
        <v>33</v>
      </c>
      <c r="G21" s="129">
        <v>1500</v>
      </c>
    </row>
    <row r="22" spans="2:11">
      <c r="B22" s="152" t="s">
        <v>11</v>
      </c>
      <c r="C22" s="153">
        <f>SUM(C20:C21)</f>
        <v>2820</v>
      </c>
      <c r="D22" s="137"/>
      <c r="F22" s="152" t="s">
        <v>11</v>
      </c>
      <c r="G22" s="153">
        <f>SUM(G20:G21)</f>
        <v>3000</v>
      </c>
    </row>
    <row r="23" spans="2:11">
      <c r="B23" s="174" t="s">
        <v>18</v>
      </c>
      <c r="C23" s="175"/>
      <c r="D23" s="138"/>
      <c r="F23" s="174" t="s">
        <v>18</v>
      </c>
      <c r="G23" s="175"/>
    </row>
    <row r="24" spans="2:11">
      <c r="B24" s="151" t="s">
        <v>19</v>
      </c>
      <c r="C24" s="151">
        <v>20000</v>
      </c>
      <c r="D24" s="139"/>
      <c r="F24" s="128" t="s">
        <v>19</v>
      </c>
      <c r="G24" s="151">
        <v>20000</v>
      </c>
      <c r="I24" s="143"/>
      <c r="J24" s="143"/>
      <c r="K24" s="143"/>
    </row>
    <row r="25" spans="2:11">
      <c r="B25" s="151" t="s">
        <v>94</v>
      </c>
      <c r="C25" s="129">
        <f>31085 + 12080+16200</f>
        <v>59365</v>
      </c>
      <c r="D25" s="139"/>
      <c r="F25" s="128" t="s">
        <v>94</v>
      </c>
      <c r="G25" s="129">
        <v>60000</v>
      </c>
      <c r="I25" s="143"/>
      <c r="J25" s="143"/>
      <c r="K25" s="143"/>
    </row>
    <row r="26" spans="2:11">
      <c r="B26" s="151" t="s">
        <v>110</v>
      </c>
      <c r="C26" s="151">
        <v>19440</v>
      </c>
      <c r="D26" s="139"/>
      <c r="F26" s="128" t="s">
        <v>110</v>
      </c>
      <c r="G26" s="151">
        <v>19440</v>
      </c>
      <c r="I26" s="143"/>
      <c r="J26" s="143"/>
      <c r="K26" s="143"/>
    </row>
    <row r="27" spans="2:11">
      <c r="B27" s="152" t="s">
        <v>11</v>
      </c>
      <c r="C27" s="153">
        <f>SUM(C24:C26)</f>
        <v>98805</v>
      </c>
      <c r="D27" s="140"/>
      <c r="F27" s="152" t="s">
        <v>11</v>
      </c>
      <c r="G27" s="153">
        <f>SUM(G24:G26)</f>
        <v>99440</v>
      </c>
      <c r="H27" s="143"/>
      <c r="I27" s="143"/>
      <c r="J27" s="143"/>
    </row>
    <row r="28" spans="2:11">
      <c r="B28" s="176"/>
      <c r="C28" s="177"/>
      <c r="F28" s="178"/>
      <c r="G28" s="179"/>
    </row>
    <row r="29" spans="2:11">
      <c r="B29" s="154" t="s">
        <v>20</v>
      </c>
      <c r="C29" s="155">
        <f>SUM(C18,C13,C22,C27)</f>
        <v>227625</v>
      </c>
      <c r="D29" s="140"/>
      <c r="F29" s="154" t="s">
        <v>20</v>
      </c>
      <c r="G29" s="155">
        <f>SUM(G18,G13,G22,G27)</f>
        <v>225440</v>
      </c>
      <c r="H29" s="143"/>
    </row>
    <row r="30" spans="2:11" ht="15.6" thickBot="1">
      <c r="H30" s="143"/>
    </row>
    <row r="31" spans="2:11">
      <c r="B31" s="145" t="s">
        <v>21</v>
      </c>
      <c r="C31" s="146">
        <v>160000</v>
      </c>
      <c r="F31" s="156" t="s">
        <v>22</v>
      </c>
      <c r="G31" s="157">
        <f>158686+2500</f>
        <v>161186</v>
      </c>
    </row>
    <row r="32" spans="2:11">
      <c r="B32" s="147" t="s">
        <v>23</v>
      </c>
      <c r="C32" s="148">
        <v>67000</v>
      </c>
      <c r="F32" s="158" t="s">
        <v>24</v>
      </c>
      <c r="G32" s="159">
        <f>67000+2500</f>
        <v>69500</v>
      </c>
    </row>
    <row r="33" spans="2:9" ht="15.6" thickBot="1">
      <c r="B33" s="147" t="s">
        <v>26</v>
      </c>
      <c r="C33" s="148">
        <v>0</v>
      </c>
      <c r="F33" s="160" t="s">
        <v>27</v>
      </c>
      <c r="G33" s="161">
        <f>SUM(G31:G32)</f>
        <v>230686</v>
      </c>
    </row>
    <row r="34" spans="2:9" ht="15.6" thickBot="1">
      <c r="B34" s="149" t="s">
        <v>11</v>
      </c>
      <c r="C34" s="150">
        <f>SUM(C31:C33)</f>
        <v>227000</v>
      </c>
    </row>
    <row r="35" spans="2:9">
      <c r="B35" s="141" t="s">
        <v>28</v>
      </c>
      <c r="C35" s="141">
        <f>G29</f>
        <v>225440</v>
      </c>
    </row>
    <row r="37" spans="2:9">
      <c r="B37" s="141" t="s">
        <v>36</v>
      </c>
      <c r="C37" s="144">
        <f>C34-C35</f>
        <v>1560</v>
      </c>
    </row>
    <row r="39" spans="2:9">
      <c r="D39" s="144"/>
    </row>
    <row r="42" spans="2:9">
      <c r="I42" s="141" t="s">
        <v>7</v>
      </c>
    </row>
  </sheetData>
  <mergeCells count="12">
    <mergeCell ref="B19:C19"/>
    <mergeCell ref="F19:G19"/>
    <mergeCell ref="B23:C23"/>
    <mergeCell ref="F23:G23"/>
    <mergeCell ref="B28:C28"/>
    <mergeCell ref="F28:G28"/>
    <mergeCell ref="B2:C2"/>
    <mergeCell ref="F2:G2"/>
    <mergeCell ref="B3:C3"/>
    <mergeCell ref="F3:G3"/>
    <mergeCell ref="B14:C14"/>
    <mergeCell ref="F14:G1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98A0-13F8-4947-A5FB-BBD0230F9E6A}">
  <dimension ref="B1:K43"/>
  <sheetViews>
    <sheetView zoomScaleNormal="100" workbookViewId="0">
      <selection activeCell="G20" sqref="G20"/>
    </sheetView>
  </sheetViews>
  <sheetFormatPr defaultColWidth="9.109375" defaultRowHeight="15"/>
  <cols>
    <col min="1" max="1" width="3.77734375" style="141" customWidth="1"/>
    <col min="2" max="2" width="14" style="141" bestFit="1" customWidth="1"/>
    <col min="3" max="3" width="9.109375" style="141" customWidth="1"/>
    <col min="4" max="4" width="6.5546875" style="141" customWidth="1"/>
    <col min="5" max="5" width="5.88671875" style="141" customWidth="1"/>
    <col min="6" max="6" width="13.109375" style="141" customWidth="1"/>
    <col min="7" max="7" width="8.77734375" style="141" customWidth="1"/>
    <col min="8" max="8" width="7" style="141" customWidth="1"/>
    <col min="9" max="9" width="7.5546875" style="141" customWidth="1"/>
    <col min="10" max="10" width="7.77734375" style="141" customWidth="1"/>
    <col min="11" max="14" width="9.109375" style="141"/>
    <col min="15" max="15" width="10.21875" style="141" bestFit="1" customWidth="1"/>
    <col min="16" max="16384" width="9.109375" style="141"/>
  </cols>
  <sheetData>
    <row r="1" spans="2:9" ht="7.5" customHeight="1" thickBot="1"/>
    <row r="2" spans="2:9">
      <c r="B2" s="180" t="s">
        <v>262</v>
      </c>
      <c r="C2" s="180"/>
      <c r="D2" s="130"/>
      <c r="F2" s="181" t="s">
        <v>263</v>
      </c>
      <c r="G2" s="182"/>
    </row>
    <row r="3" spans="2:9">
      <c r="B3" s="183" t="s">
        <v>0</v>
      </c>
      <c r="C3" s="184"/>
      <c r="D3" s="130"/>
      <c r="F3" s="183" t="s">
        <v>0</v>
      </c>
      <c r="G3" s="184"/>
    </row>
    <row r="4" spans="2:9">
      <c r="B4" s="151" t="s">
        <v>1</v>
      </c>
      <c r="C4" s="151">
        <v>15000</v>
      </c>
      <c r="D4" s="130"/>
      <c r="F4" s="128" t="s">
        <v>1</v>
      </c>
      <c r="G4" s="151">
        <v>10000</v>
      </c>
      <c r="H4" s="142"/>
      <c r="I4" s="142"/>
    </row>
    <row r="5" spans="2:9">
      <c r="B5" s="151" t="s">
        <v>2</v>
      </c>
      <c r="C5" s="151">
        <v>3000</v>
      </c>
      <c r="D5" s="130"/>
      <c r="F5" s="128" t="s">
        <v>3</v>
      </c>
      <c r="G5" s="151">
        <v>3000</v>
      </c>
      <c r="H5" s="141">
        <f>45*55</f>
        <v>2475</v>
      </c>
    </row>
    <row r="6" spans="2:9">
      <c r="B6" s="151" t="s">
        <v>4</v>
      </c>
      <c r="C6" s="151">
        <v>5000</v>
      </c>
      <c r="D6" s="130"/>
      <c r="F6" s="128" t="s">
        <v>4</v>
      </c>
      <c r="G6" s="151">
        <v>5000</v>
      </c>
    </row>
    <row r="7" spans="2:9">
      <c r="B7" s="151" t="s">
        <v>5</v>
      </c>
      <c r="C7" s="151">
        <v>4000</v>
      </c>
      <c r="D7" s="130"/>
      <c r="F7" s="128" t="s">
        <v>5</v>
      </c>
      <c r="G7" s="151">
        <v>4000</v>
      </c>
      <c r="I7" s="142"/>
    </row>
    <row r="8" spans="2:9">
      <c r="B8" s="151" t="s">
        <v>6</v>
      </c>
      <c r="C8" s="151">
        <v>3000</v>
      </c>
      <c r="D8" s="130"/>
      <c r="F8" s="128" t="s">
        <v>6</v>
      </c>
      <c r="G8" s="151">
        <v>3000</v>
      </c>
      <c r="H8" s="142"/>
    </row>
    <row r="9" spans="2:9">
      <c r="B9" s="151" t="s">
        <v>8</v>
      </c>
      <c r="C9" s="151">
        <v>25000</v>
      </c>
      <c r="D9" s="130"/>
      <c r="F9" s="128" t="s">
        <v>8</v>
      </c>
      <c r="G9" s="151">
        <v>5000</v>
      </c>
      <c r="H9" s="142"/>
      <c r="I9" s="142"/>
    </row>
    <row r="10" spans="2:9">
      <c r="B10" s="151" t="s">
        <v>9</v>
      </c>
      <c r="C10" s="151">
        <v>11000</v>
      </c>
      <c r="D10" s="130"/>
      <c r="F10" s="128" t="s">
        <v>9</v>
      </c>
      <c r="G10" s="151">
        <v>0</v>
      </c>
      <c r="H10" s="142"/>
      <c r="I10" s="142"/>
    </row>
    <row r="11" spans="2:9">
      <c r="B11" s="151" t="s">
        <v>29</v>
      </c>
      <c r="C11" s="151">
        <v>1000</v>
      </c>
      <c r="D11" s="130"/>
      <c r="F11" s="128" t="s">
        <v>29</v>
      </c>
      <c r="G11" s="151">
        <v>0</v>
      </c>
      <c r="H11" s="142"/>
    </row>
    <row r="12" spans="2:9">
      <c r="B12" s="151" t="s">
        <v>10</v>
      </c>
      <c r="C12" s="151">
        <v>5000</v>
      </c>
      <c r="D12" s="130"/>
      <c r="F12" s="128" t="s">
        <v>10</v>
      </c>
      <c r="G12" s="151">
        <v>5000</v>
      </c>
    </row>
    <row r="13" spans="2:9">
      <c r="B13" s="152" t="s">
        <v>11</v>
      </c>
      <c r="C13" s="153">
        <f>SUM(C4:C12)</f>
        <v>72000</v>
      </c>
      <c r="D13" s="131"/>
      <c r="F13" s="152" t="s">
        <v>11</v>
      </c>
      <c r="G13" s="153">
        <f>SUM(G4:G12)</f>
        <v>35000</v>
      </c>
    </row>
    <row r="14" spans="2:9">
      <c r="B14" s="185" t="s">
        <v>12</v>
      </c>
      <c r="C14" s="186"/>
      <c r="D14" s="132"/>
      <c r="F14" s="185" t="s">
        <v>12</v>
      </c>
      <c r="G14" s="186"/>
    </row>
    <row r="15" spans="2:9">
      <c r="B15" s="151" t="s">
        <v>13</v>
      </c>
      <c r="C15" s="151">
        <v>5000</v>
      </c>
      <c r="D15" s="132"/>
      <c r="F15" s="128" t="s">
        <v>13</v>
      </c>
      <c r="G15" s="151">
        <v>0</v>
      </c>
      <c r="I15" s="141" t="s">
        <v>199</v>
      </c>
    </row>
    <row r="16" spans="2:9">
      <c r="B16" s="151" t="s">
        <v>250</v>
      </c>
      <c r="C16" s="151">
        <v>25000</v>
      </c>
      <c r="D16" s="132"/>
      <c r="F16" s="151" t="s">
        <v>250</v>
      </c>
      <c r="G16" s="151">
        <v>0</v>
      </c>
    </row>
    <row r="17" spans="2:11" ht="15.6" thickBot="1">
      <c r="B17" s="151" t="s">
        <v>15</v>
      </c>
      <c r="C17" s="151">
        <v>25000</v>
      </c>
      <c r="D17" s="132"/>
      <c r="F17" s="128" t="s">
        <v>15</v>
      </c>
      <c r="G17" s="151">
        <v>0</v>
      </c>
    </row>
    <row r="18" spans="2:11" ht="15.6" thickBot="1">
      <c r="B18" s="152" t="s">
        <v>11</v>
      </c>
      <c r="C18" s="153">
        <f>SUM(C15:C17)</f>
        <v>55000</v>
      </c>
      <c r="D18" s="135"/>
      <c r="F18" s="133" t="s">
        <v>11</v>
      </c>
      <c r="G18" s="134">
        <f>SUM(G15:G17)</f>
        <v>0</v>
      </c>
    </row>
    <row r="19" spans="2:11">
      <c r="B19" s="172" t="s">
        <v>16</v>
      </c>
      <c r="C19" s="173"/>
      <c r="D19" s="136"/>
      <c r="F19" s="172" t="s">
        <v>16</v>
      </c>
      <c r="G19" s="173"/>
    </row>
    <row r="20" spans="2:11">
      <c r="B20" s="151" t="s">
        <v>17</v>
      </c>
      <c r="C20" s="151">
        <v>1320</v>
      </c>
      <c r="D20" s="136"/>
      <c r="F20" s="128" t="s">
        <v>17</v>
      </c>
      <c r="G20" s="129">
        <v>1500</v>
      </c>
    </row>
    <row r="21" spans="2:11">
      <c r="B21" s="151" t="s">
        <v>33</v>
      </c>
      <c r="C21" s="151">
        <v>1500</v>
      </c>
      <c r="D21" s="136"/>
      <c r="F21" s="128" t="s">
        <v>33</v>
      </c>
      <c r="G21" s="129">
        <v>1500</v>
      </c>
    </row>
    <row r="22" spans="2:11">
      <c r="B22" s="152" t="s">
        <v>11</v>
      </c>
      <c r="C22" s="153">
        <f>SUM(C20:C21)</f>
        <v>2820</v>
      </c>
      <c r="D22" s="137"/>
      <c r="F22" s="152" t="s">
        <v>11</v>
      </c>
      <c r="G22" s="153">
        <f>SUM(G20:G21)</f>
        <v>3000</v>
      </c>
    </row>
    <row r="23" spans="2:11">
      <c r="B23" s="174" t="s">
        <v>18</v>
      </c>
      <c r="C23" s="175"/>
      <c r="D23" s="138"/>
      <c r="F23" s="174" t="s">
        <v>18</v>
      </c>
      <c r="G23" s="175"/>
    </row>
    <row r="24" spans="2:11">
      <c r="B24" s="151" t="s">
        <v>19</v>
      </c>
      <c r="C24" s="151">
        <v>20000</v>
      </c>
      <c r="D24" s="139"/>
      <c r="F24" s="128" t="s">
        <v>19</v>
      </c>
      <c r="G24" s="151">
        <v>20000</v>
      </c>
      <c r="I24" s="143"/>
      <c r="J24" s="143"/>
      <c r="K24" s="143"/>
    </row>
    <row r="25" spans="2:11">
      <c r="B25" s="151" t="s">
        <v>94</v>
      </c>
      <c r="C25" s="129">
        <f>31085 + 12080+16200</f>
        <v>59365</v>
      </c>
      <c r="D25" s="139"/>
      <c r="F25" s="128" t="s">
        <v>94</v>
      </c>
      <c r="G25" s="129">
        <v>0</v>
      </c>
      <c r="I25" s="143"/>
      <c r="J25" s="143"/>
      <c r="K25" s="143"/>
    </row>
    <row r="26" spans="2:11">
      <c r="B26" s="151" t="s">
        <v>110</v>
      </c>
      <c r="C26" s="151">
        <v>16200</v>
      </c>
      <c r="D26" s="139"/>
      <c r="F26" s="128" t="s">
        <v>110</v>
      </c>
      <c r="G26" s="151">
        <v>0</v>
      </c>
      <c r="I26" s="143"/>
      <c r="J26" s="143"/>
      <c r="K26" s="143"/>
    </row>
    <row r="27" spans="2:11">
      <c r="B27" s="151" t="s">
        <v>264</v>
      </c>
      <c r="C27" s="151">
        <v>19440</v>
      </c>
      <c r="D27" s="139"/>
      <c r="F27" s="128" t="s">
        <v>264</v>
      </c>
      <c r="G27" s="151"/>
      <c r="I27" s="143"/>
      <c r="J27" s="143"/>
      <c r="K27" s="143"/>
    </row>
    <row r="28" spans="2:11">
      <c r="B28" s="152" t="s">
        <v>11</v>
      </c>
      <c r="C28" s="153">
        <f>SUM(C24:C26)</f>
        <v>95565</v>
      </c>
      <c r="D28" s="140"/>
      <c r="F28" s="152" t="s">
        <v>11</v>
      </c>
      <c r="G28" s="153">
        <f>SUM(G24:G26)</f>
        <v>20000</v>
      </c>
      <c r="H28" s="143"/>
      <c r="I28" s="143"/>
      <c r="J28" s="143"/>
    </row>
    <row r="29" spans="2:11">
      <c r="B29" s="176"/>
      <c r="C29" s="177"/>
      <c r="F29" s="178"/>
      <c r="G29" s="179"/>
    </row>
    <row r="30" spans="2:11">
      <c r="B30" s="154" t="s">
        <v>20</v>
      </c>
      <c r="C30" s="155">
        <f>SUM(C18,C13,C22,C28)</f>
        <v>225385</v>
      </c>
      <c r="D30" s="140"/>
      <c r="F30" s="154" t="s">
        <v>20</v>
      </c>
      <c r="G30" s="155">
        <f>SUM(G18,G13,G22,G28)</f>
        <v>58000</v>
      </c>
      <c r="H30" s="143"/>
    </row>
    <row r="31" spans="2:11" ht="15.6" thickBot="1">
      <c r="H31" s="143"/>
    </row>
    <row r="32" spans="2:11">
      <c r="B32" s="145" t="s">
        <v>21</v>
      </c>
      <c r="C32" s="146">
        <v>68000</v>
      </c>
      <c r="F32" s="156" t="s">
        <v>22</v>
      </c>
      <c r="G32" s="157">
        <f>158686+2500</f>
        <v>161186</v>
      </c>
    </row>
    <row r="33" spans="2:9">
      <c r="B33" s="147" t="s">
        <v>23</v>
      </c>
      <c r="C33" s="148">
        <v>14000</v>
      </c>
      <c r="F33" s="158" t="s">
        <v>24</v>
      </c>
      <c r="G33" s="159">
        <f>67000+2500</f>
        <v>69500</v>
      </c>
    </row>
    <row r="34" spans="2:9" ht="15.6" thickBot="1">
      <c r="B34" s="147" t="s">
        <v>26</v>
      </c>
      <c r="C34" s="148">
        <v>0</v>
      </c>
      <c r="F34" s="160" t="s">
        <v>27</v>
      </c>
      <c r="G34" s="161">
        <f>SUM(G32:G33)</f>
        <v>230686</v>
      </c>
    </row>
    <row r="35" spans="2:9" ht="15.6" thickBot="1">
      <c r="B35" s="149" t="s">
        <v>11</v>
      </c>
      <c r="C35" s="150">
        <f>SUM(C32:C34)</f>
        <v>82000</v>
      </c>
    </row>
    <row r="36" spans="2:9">
      <c r="B36" s="141" t="s">
        <v>28</v>
      </c>
      <c r="C36" s="141">
        <f>G30</f>
        <v>58000</v>
      </c>
    </row>
    <row r="38" spans="2:9">
      <c r="B38" s="141" t="s">
        <v>36</v>
      </c>
      <c r="C38" s="144">
        <f>C35-C36</f>
        <v>24000</v>
      </c>
    </row>
    <row r="40" spans="2:9">
      <c r="D40" s="144"/>
    </row>
    <row r="43" spans="2:9">
      <c r="I43" s="141" t="s">
        <v>7</v>
      </c>
    </row>
  </sheetData>
  <mergeCells count="12">
    <mergeCell ref="B2:C2"/>
    <mergeCell ref="F2:G2"/>
    <mergeCell ref="B3:C3"/>
    <mergeCell ref="F3:G3"/>
    <mergeCell ref="B14:C14"/>
    <mergeCell ref="F14:G14"/>
    <mergeCell ref="B19:C19"/>
    <mergeCell ref="F19:G19"/>
    <mergeCell ref="B23:C23"/>
    <mergeCell ref="F23:G23"/>
    <mergeCell ref="B29:C29"/>
    <mergeCell ref="F29:G2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079D-6C60-4902-A45C-6A18184D06F7}">
  <dimension ref="B1:K43"/>
  <sheetViews>
    <sheetView zoomScaleNormal="100" workbookViewId="0">
      <selection activeCell="K25" sqref="K25"/>
    </sheetView>
  </sheetViews>
  <sheetFormatPr defaultColWidth="9.109375" defaultRowHeight="15"/>
  <cols>
    <col min="1" max="1" width="3.77734375" style="141" customWidth="1"/>
    <col min="2" max="2" width="14" style="141" bestFit="1" customWidth="1"/>
    <col min="3" max="3" width="9.109375" style="141" customWidth="1"/>
    <col min="4" max="4" width="6.5546875" style="141" customWidth="1"/>
    <col min="5" max="5" width="5.88671875" style="141" customWidth="1"/>
    <col min="6" max="6" width="13.109375" style="141" customWidth="1"/>
    <col min="7" max="7" width="8.77734375" style="141" customWidth="1"/>
    <col min="8" max="8" width="7" style="141" customWidth="1"/>
    <col min="9" max="9" width="7.5546875" style="141" customWidth="1"/>
    <col min="10" max="10" width="7.77734375" style="141" customWidth="1"/>
    <col min="11" max="14" width="9.109375" style="141"/>
    <col min="15" max="15" width="10.21875" style="141" bestFit="1" customWidth="1"/>
    <col min="16" max="16384" width="9.109375" style="141"/>
  </cols>
  <sheetData>
    <row r="1" spans="2:9" ht="7.5" customHeight="1" thickBot="1"/>
    <row r="2" spans="2:9">
      <c r="B2" s="180" t="s">
        <v>266</v>
      </c>
      <c r="C2" s="180"/>
      <c r="D2" s="130"/>
      <c r="F2" s="181" t="s">
        <v>265</v>
      </c>
      <c r="G2" s="182"/>
    </row>
    <row r="3" spans="2:9">
      <c r="B3" s="183" t="s">
        <v>0</v>
      </c>
      <c r="C3" s="184"/>
      <c r="D3" s="130"/>
      <c r="F3" s="183" t="s">
        <v>0</v>
      </c>
      <c r="G3" s="184"/>
    </row>
    <row r="4" spans="2:9">
      <c r="B4" s="151" t="s">
        <v>1</v>
      </c>
      <c r="C4" s="151">
        <v>15000</v>
      </c>
      <c r="D4" s="130"/>
      <c r="F4" s="128" t="s">
        <v>1</v>
      </c>
      <c r="G4" s="151">
        <v>5000</v>
      </c>
      <c r="H4" s="142"/>
      <c r="I4" s="142"/>
    </row>
    <row r="5" spans="2:9">
      <c r="B5" s="151" t="s">
        <v>2</v>
      </c>
      <c r="C5" s="151">
        <v>3000</v>
      </c>
      <c r="D5" s="130"/>
      <c r="F5" s="128" t="s">
        <v>3</v>
      </c>
      <c r="G5" s="151">
        <v>1000</v>
      </c>
      <c r="H5" s="141">
        <f>45*55</f>
        <v>2475</v>
      </c>
    </row>
    <row r="6" spans="2:9">
      <c r="B6" s="151" t="s">
        <v>4</v>
      </c>
      <c r="C6" s="151">
        <v>5000</v>
      </c>
      <c r="D6" s="130"/>
      <c r="F6" s="128" t="s">
        <v>4</v>
      </c>
      <c r="G6" s="151">
        <v>2000</v>
      </c>
    </row>
    <row r="7" spans="2:9">
      <c r="B7" s="151" t="s">
        <v>5</v>
      </c>
      <c r="C7" s="151">
        <v>4000</v>
      </c>
      <c r="D7" s="130"/>
      <c r="F7" s="128" t="s">
        <v>5</v>
      </c>
      <c r="G7" s="151">
        <v>2000</v>
      </c>
      <c r="I7" s="142"/>
    </row>
    <row r="8" spans="2:9">
      <c r="B8" s="151" t="s">
        <v>6</v>
      </c>
      <c r="C8" s="151">
        <v>3000</v>
      </c>
      <c r="D8" s="130"/>
      <c r="F8" s="128" t="s">
        <v>6</v>
      </c>
      <c r="G8" s="151">
        <v>3000</v>
      </c>
      <c r="H8" s="142"/>
    </row>
    <row r="9" spans="2:9">
      <c r="B9" s="151" t="s">
        <v>8</v>
      </c>
      <c r="C9" s="151">
        <v>25000</v>
      </c>
      <c r="D9" s="130"/>
      <c r="F9" s="128" t="s">
        <v>8</v>
      </c>
      <c r="G9" s="151">
        <v>10000</v>
      </c>
      <c r="H9" s="142"/>
      <c r="I9" s="142"/>
    </row>
    <row r="10" spans="2:9">
      <c r="B10" s="151" t="s">
        <v>9</v>
      </c>
      <c r="C10" s="151">
        <v>11000</v>
      </c>
      <c r="D10" s="130"/>
      <c r="F10" s="128" t="s">
        <v>9</v>
      </c>
      <c r="G10" s="151">
        <v>0</v>
      </c>
      <c r="H10" s="142"/>
      <c r="I10" s="142"/>
    </row>
    <row r="11" spans="2:9">
      <c r="B11" s="151" t="s">
        <v>29</v>
      </c>
      <c r="C11" s="151">
        <v>1000</v>
      </c>
      <c r="D11" s="130"/>
      <c r="F11" s="128" t="s">
        <v>29</v>
      </c>
      <c r="G11" s="151">
        <v>0</v>
      </c>
      <c r="H11" s="142"/>
    </row>
    <row r="12" spans="2:9">
      <c r="B12" s="151" t="s">
        <v>10</v>
      </c>
      <c r="C12" s="151">
        <v>5000</v>
      </c>
      <c r="D12" s="130"/>
      <c r="F12" s="128" t="s">
        <v>10</v>
      </c>
      <c r="G12" s="151">
        <v>5000</v>
      </c>
    </row>
    <row r="13" spans="2:9">
      <c r="B13" s="152" t="s">
        <v>11</v>
      </c>
      <c r="C13" s="153">
        <f>SUM(C4:C12)</f>
        <v>72000</v>
      </c>
      <c r="D13" s="131"/>
      <c r="F13" s="152" t="s">
        <v>11</v>
      </c>
      <c r="G13" s="153">
        <f>SUM(G4:G12)</f>
        <v>28000</v>
      </c>
    </row>
    <row r="14" spans="2:9">
      <c r="B14" s="185" t="s">
        <v>12</v>
      </c>
      <c r="C14" s="186"/>
      <c r="D14" s="132"/>
      <c r="F14" s="185" t="s">
        <v>12</v>
      </c>
      <c r="G14" s="186"/>
    </row>
    <row r="15" spans="2:9">
      <c r="B15" s="151" t="s">
        <v>13</v>
      </c>
      <c r="C15" s="151">
        <v>5000</v>
      </c>
      <c r="D15" s="132"/>
      <c r="F15" s="128" t="s">
        <v>13</v>
      </c>
      <c r="G15" s="151">
        <v>0</v>
      </c>
      <c r="I15" s="141" t="s">
        <v>199</v>
      </c>
    </row>
    <row r="16" spans="2:9">
      <c r="B16" s="151" t="s">
        <v>250</v>
      </c>
      <c r="C16" s="151">
        <v>25000</v>
      </c>
      <c r="D16" s="132"/>
      <c r="F16" s="151" t="s">
        <v>250</v>
      </c>
      <c r="G16" s="151">
        <v>0</v>
      </c>
    </row>
    <row r="17" spans="2:11" ht="15.6" thickBot="1">
      <c r="B17" s="151" t="s">
        <v>15</v>
      </c>
      <c r="C17" s="151">
        <v>25000</v>
      </c>
      <c r="D17" s="132"/>
      <c r="F17" s="128" t="s">
        <v>15</v>
      </c>
      <c r="G17" s="151">
        <v>0</v>
      </c>
    </row>
    <row r="18" spans="2:11" ht="15.6" thickBot="1">
      <c r="B18" s="152" t="s">
        <v>11</v>
      </c>
      <c r="C18" s="153">
        <f>SUM(C15:C17)</f>
        <v>55000</v>
      </c>
      <c r="D18" s="135"/>
      <c r="F18" s="133" t="s">
        <v>11</v>
      </c>
      <c r="G18" s="134">
        <f>SUM(G15:G17)</f>
        <v>0</v>
      </c>
    </row>
    <row r="19" spans="2:11">
      <c r="B19" s="172" t="s">
        <v>16</v>
      </c>
      <c r="C19" s="173"/>
      <c r="D19" s="136"/>
      <c r="F19" s="172" t="s">
        <v>16</v>
      </c>
      <c r="G19" s="173"/>
    </row>
    <row r="20" spans="2:11">
      <c r="B20" s="151" t="s">
        <v>17</v>
      </c>
      <c r="C20" s="151">
        <v>1500</v>
      </c>
      <c r="D20" s="136"/>
      <c r="F20" s="128" t="s">
        <v>17</v>
      </c>
      <c r="G20" s="129">
        <v>0</v>
      </c>
    </row>
    <row r="21" spans="2:11">
      <c r="B21" s="151" t="s">
        <v>33</v>
      </c>
      <c r="C21" s="151">
        <v>1500</v>
      </c>
      <c r="D21" s="136"/>
      <c r="F21" s="128" t="s">
        <v>33</v>
      </c>
      <c r="G21" s="129">
        <v>0</v>
      </c>
    </row>
    <row r="22" spans="2:11">
      <c r="B22" s="152" t="s">
        <v>11</v>
      </c>
      <c r="C22" s="153">
        <f>SUM(C20:C21)</f>
        <v>3000</v>
      </c>
      <c r="D22" s="137"/>
      <c r="F22" s="152" t="s">
        <v>11</v>
      </c>
      <c r="G22" s="153">
        <f>SUM(G20:G21)</f>
        <v>0</v>
      </c>
    </row>
    <row r="23" spans="2:11">
      <c r="B23" s="174" t="s">
        <v>18</v>
      </c>
      <c r="C23" s="175"/>
      <c r="D23" s="138"/>
      <c r="F23" s="174" t="s">
        <v>18</v>
      </c>
      <c r="G23" s="175"/>
    </row>
    <row r="24" spans="2:11">
      <c r="B24" s="151" t="s">
        <v>19</v>
      </c>
      <c r="C24" s="151">
        <v>20000</v>
      </c>
      <c r="D24" s="139"/>
      <c r="F24" s="128" t="s">
        <v>19</v>
      </c>
      <c r="G24" s="151">
        <v>20000</v>
      </c>
      <c r="I24" s="143"/>
      <c r="J24" s="143"/>
      <c r="K24" s="143"/>
    </row>
    <row r="25" spans="2:11">
      <c r="B25" s="151" t="s">
        <v>94</v>
      </c>
      <c r="C25" s="129">
        <v>60000</v>
      </c>
      <c r="D25" s="139"/>
      <c r="F25" s="128" t="s">
        <v>94</v>
      </c>
      <c r="G25" s="129">
        <v>0</v>
      </c>
      <c r="I25" s="143"/>
      <c r="J25" s="143"/>
      <c r="K25" s="143"/>
    </row>
    <row r="26" spans="2:11">
      <c r="B26" s="151" t="s">
        <v>110</v>
      </c>
      <c r="C26" s="151">
        <v>16200</v>
      </c>
      <c r="D26" s="139"/>
      <c r="F26" s="128" t="s">
        <v>110</v>
      </c>
      <c r="G26" s="151">
        <v>0</v>
      </c>
      <c r="I26" s="143"/>
      <c r="J26" s="143"/>
      <c r="K26" s="143"/>
    </row>
    <row r="27" spans="2:11">
      <c r="B27" s="151" t="s">
        <v>264</v>
      </c>
      <c r="C27" s="151">
        <v>19440</v>
      </c>
      <c r="D27" s="139"/>
      <c r="F27" s="128" t="s">
        <v>264</v>
      </c>
      <c r="G27" s="151">
        <v>0</v>
      </c>
      <c r="I27" s="143"/>
      <c r="J27" s="143"/>
      <c r="K27" s="143"/>
    </row>
    <row r="28" spans="2:11">
      <c r="B28" s="152" t="s">
        <v>11</v>
      </c>
      <c r="C28" s="153">
        <f>SUM(C24:C26)</f>
        <v>96200</v>
      </c>
      <c r="D28" s="140"/>
      <c r="F28" s="152" t="s">
        <v>11</v>
      </c>
      <c r="G28" s="153">
        <f>SUM(G24:G26)</f>
        <v>20000</v>
      </c>
      <c r="H28" s="143"/>
      <c r="I28" s="143"/>
      <c r="J28" s="143"/>
    </row>
    <row r="29" spans="2:11">
      <c r="B29" s="176"/>
      <c r="C29" s="177"/>
      <c r="F29" s="178"/>
      <c r="G29" s="179"/>
    </row>
    <row r="30" spans="2:11">
      <c r="B30" s="154" t="s">
        <v>20</v>
      </c>
      <c r="C30" s="155">
        <f>SUM(C18,C13,C22,C28)</f>
        <v>226200</v>
      </c>
      <c r="D30" s="140"/>
      <c r="F30" s="154" t="s">
        <v>20</v>
      </c>
      <c r="G30" s="155">
        <f>SUM(G18,G13,G22,G28)</f>
        <v>48000</v>
      </c>
      <c r="H30" s="143"/>
    </row>
    <row r="31" spans="2:11" ht="15.6" thickBot="1">
      <c r="H31" s="143"/>
    </row>
    <row r="32" spans="2:11">
      <c r="B32" s="145" t="s">
        <v>21</v>
      </c>
      <c r="C32" s="146">
        <v>50000</v>
      </c>
      <c r="F32" s="156" t="s">
        <v>22</v>
      </c>
      <c r="G32" s="157">
        <f>158686+2500</f>
        <v>161186</v>
      </c>
    </row>
    <row r="33" spans="2:9">
      <c r="B33" s="147" t="s">
        <v>23</v>
      </c>
      <c r="C33" s="148">
        <v>0</v>
      </c>
      <c r="F33" s="158" t="s">
        <v>24</v>
      </c>
      <c r="G33" s="159">
        <f>67000+2500</f>
        <v>69500</v>
      </c>
    </row>
    <row r="34" spans="2:9" ht="15.6" thickBot="1">
      <c r="B34" s="147" t="s">
        <v>26</v>
      </c>
      <c r="C34" s="148">
        <v>0</v>
      </c>
      <c r="F34" s="160" t="s">
        <v>27</v>
      </c>
      <c r="G34" s="161">
        <f>SUM(G32:G33)</f>
        <v>230686</v>
      </c>
    </row>
    <row r="35" spans="2:9" ht="15.6" thickBot="1">
      <c r="B35" s="149" t="s">
        <v>11</v>
      </c>
      <c r="C35" s="150">
        <f>SUM(C32:C34)</f>
        <v>50000</v>
      </c>
    </row>
    <row r="36" spans="2:9">
      <c r="B36" s="141" t="s">
        <v>28</v>
      </c>
      <c r="C36" s="141">
        <f>G30</f>
        <v>48000</v>
      </c>
    </row>
    <row r="38" spans="2:9">
      <c r="B38" s="141" t="s">
        <v>36</v>
      </c>
      <c r="C38" s="144">
        <f>C35-C36</f>
        <v>2000</v>
      </c>
    </row>
    <row r="40" spans="2:9">
      <c r="D40" s="144"/>
    </row>
    <row r="43" spans="2:9">
      <c r="I43" s="141" t="s">
        <v>7</v>
      </c>
    </row>
  </sheetData>
  <mergeCells count="12">
    <mergeCell ref="B19:C19"/>
    <mergeCell ref="F19:G19"/>
    <mergeCell ref="B23:C23"/>
    <mergeCell ref="F23:G23"/>
    <mergeCell ref="B29:C29"/>
    <mergeCell ref="F29:G29"/>
    <mergeCell ref="B2:C2"/>
    <mergeCell ref="F2:G2"/>
    <mergeCell ref="B3:C3"/>
    <mergeCell ref="F3:G3"/>
    <mergeCell ref="B14:C14"/>
    <mergeCell ref="F14:G1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A037-06B1-4E87-AA22-65BDDDCE45D8}">
  <dimension ref="B1:H40"/>
  <sheetViews>
    <sheetView tabSelected="1" zoomScaleNormal="100" workbookViewId="0">
      <selection activeCell="B2" sqref="B2:C2"/>
    </sheetView>
  </sheetViews>
  <sheetFormatPr defaultColWidth="9.109375" defaultRowHeight="15"/>
  <cols>
    <col min="1" max="1" width="3.77734375" style="141" customWidth="1"/>
    <col min="2" max="2" width="15" style="141" bestFit="1" customWidth="1"/>
    <col min="3" max="3" width="9.109375" style="141" customWidth="1"/>
    <col min="4" max="4" width="6.5546875" style="141" customWidth="1"/>
    <col min="5" max="5" width="5.88671875" style="141" customWidth="1"/>
    <col min="6" max="6" width="13.88671875" style="141" bestFit="1" customWidth="1"/>
    <col min="7" max="7" width="8.77734375" style="141" customWidth="1"/>
    <col min="8" max="8" width="7" style="141" customWidth="1"/>
    <col min="9" max="16384" width="9.109375" style="141"/>
  </cols>
  <sheetData>
    <row r="1" spans="2:8" ht="7.5" customHeight="1" thickBot="1"/>
    <row r="2" spans="2:8">
      <c r="B2" s="180" t="s">
        <v>271</v>
      </c>
      <c r="C2" s="180"/>
      <c r="D2" s="130"/>
      <c r="F2" s="181" t="s">
        <v>272</v>
      </c>
      <c r="G2" s="182"/>
    </row>
    <row r="3" spans="2:8">
      <c r="B3" s="200" t="s">
        <v>0</v>
      </c>
      <c r="C3" s="201"/>
      <c r="D3" s="130"/>
      <c r="F3" s="200" t="s">
        <v>0</v>
      </c>
      <c r="G3" s="201"/>
    </row>
    <row r="4" spans="2:8">
      <c r="B4" s="151" t="s">
        <v>1</v>
      </c>
      <c r="C4" s="151">
        <v>15000</v>
      </c>
      <c r="D4" s="130"/>
      <c r="F4" s="128" t="s">
        <v>1</v>
      </c>
      <c r="G4" s="151">
        <v>15000</v>
      </c>
      <c r="H4" s="142"/>
    </row>
    <row r="5" spans="2:8">
      <c r="B5" s="151" t="s">
        <v>2</v>
      </c>
      <c r="C5" s="151">
        <v>3000</v>
      </c>
      <c r="D5" s="130"/>
      <c r="F5" s="128" t="s">
        <v>3</v>
      </c>
      <c r="G5" s="151">
        <v>3000</v>
      </c>
      <c r="H5" s="141">
        <f>45*55</f>
        <v>2475</v>
      </c>
    </row>
    <row r="6" spans="2:8">
      <c r="B6" s="151" t="s">
        <v>4</v>
      </c>
      <c r="C6" s="151">
        <v>5000</v>
      </c>
      <c r="D6" s="130"/>
      <c r="F6" s="128" t="s">
        <v>4</v>
      </c>
      <c r="G6" s="151">
        <v>5000</v>
      </c>
    </row>
    <row r="7" spans="2:8">
      <c r="B7" s="151" t="s">
        <v>5</v>
      </c>
      <c r="C7" s="151">
        <v>4000</v>
      </c>
      <c r="D7" s="130"/>
      <c r="F7" s="128" t="s">
        <v>5</v>
      </c>
      <c r="G7" s="151">
        <v>4000</v>
      </c>
    </row>
    <row r="8" spans="2:8">
      <c r="B8" s="151" t="s">
        <v>6</v>
      </c>
      <c r="C8" s="151">
        <v>3000</v>
      </c>
      <c r="D8" s="130"/>
      <c r="F8" s="128" t="s">
        <v>6</v>
      </c>
      <c r="G8" s="151">
        <v>3000</v>
      </c>
      <c r="H8" s="142"/>
    </row>
    <row r="9" spans="2:8">
      <c r="B9" s="151" t="s">
        <v>8</v>
      </c>
      <c r="C9" s="151">
        <v>25000</v>
      </c>
      <c r="D9" s="130"/>
      <c r="F9" s="128" t="s">
        <v>8</v>
      </c>
      <c r="G9" s="151">
        <v>25000</v>
      </c>
      <c r="H9" s="142"/>
    </row>
    <row r="10" spans="2:8">
      <c r="B10" s="151" t="s">
        <v>9</v>
      </c>
      <c r="C10" s="151">
        <v>11000</v>
      </c>
      <c r="D10" s="130"/>
      <c r="F10" s="128" t="s">
        <v>9</v>
      </c>
      <c r="G10" s="151">
        <v>11000</v>
      </c>
      <c r="H10" s="142"/>
    </row>
    <row r="11" spans="2:8">
      <c r="B11" s="151" t="s">
        <v>29</v>
      </c>
      <c r="C11" s="151">
        <v>1000</v>
      </c>
      <c r="D11" s="130"/>
      <c r="F11" s="128" t="s">
        <v>29</v>
      </c>
      <c r="G11" s="151">
        <v>1000</v>
      </c>
      <c r="H11" s="142"/>
    </row>
    <row r="12" spans="2:8">
      <c r="B12" s="151" t="s">
        <v>10</v>
      </c>
      <c r="C12" s="151">
        <v>5000</v>
      </c>
      <c r="D12" s="130"/>
      <c r="F12" s="128" t="s">
        <v>10</v>
      </c>
      <c r="G12" s="151">
        <v>5000</v>
      </c>
    </row>
    <row r="13" spans="2:8">
      <c r="B13" s="152" t="s">
        <v>11</v>
      </c>
      <c r="C13" s="153">
        <f>SUM(C4:C12)</f>
        <v>72000</v>
      </c>
      <c r="D13" s="131"/>
      <c r="F13" s="152" t="s">
        <v>11</v>
      </c>
      <c r="G13" s="153">
        <f>SUM(G4:G12)</f>
        <v>72000</v>
      </c>
    </row>
    <row r="14" spans="2:8">
      <c r="B14" s="202" t="s">
        <v>12</v>
      </c>
      <c r="C14" s="203"/>
      <c r="D14" s="132"/>
      <c r="F14" s="202" t="s">
        <v>12</v>
      </c>
      <c r="G14" s="203"/>
    </row>
    <row r="15" spans="2:8">
      <c r="B15" s="151" t="s">
        <v>13</v>
      </c>
      <c r="C15" s="151">
        <v>5000</v>
      </c>
      <c r="D15" s="132"/>
      <c r="F15" s="128" t="s">
        <v>13</v>
      </c>
      <c r="G15" s="151">
        <v>5000</v>
      </c>
    </row>
    <row r="16" spans="2:8">
      <c r="B16" s="151" t="s">
        <v>250</v>
      </c>
      <c r="C16" s="151">
        <v>25000</v>
      </c>
      <c r="D16" s="132"/>
      <c r="F16" s="151" t="s">
        <v>250</v>
      </c>
      <c r="G16" s="151">
        <v>25000</v>
      </c>
    </row>
    <row r="17" spans="2:8" ht="15.6" thickBot="1">
      <c r="B17" s="151" t="s">
        <v>15</v>
      </c>
      <c r="C17" s="151">
        <v>25000</v>
      </c>
      <c r="D17" s="132"/>
      <c r="F17" s="128" t="s">
        <v>15</v>
      </c>
      <c r="G17" s="151">
        <v>25000</v>
      </c>
    </row>
    <row r="18" spans="2:8" ht="15.6" thickBot="1">
      <c r="B18" s="152" t="s">
        <v>11</v>
      </c>
      <c r="C18" s="153">
        <f>SUM(C15:C17)</f>
        <v>55000</v>
      </c>
      <c r="D18" s="135"/>
      <c r="F18" s="133" t="s">
        <v>11</v>
      </c>
      <c r="G18" s="134">
        <f>SUM(G15:G17)</f>
        <v>55000</v>
      </c>
    </row>
    <row r="19" spans="2:8">
      <c r="B19" s="204" t="s">
        <v>16</v>
      </c>
      <c r="C19" s="205"/>
      <c r="D19" s="136"/>
      <c r="F19" s="204" t="s">
        <v>16</v>
      </c>
      <c r="G19" s="205"/>
    </row>
    <row r="20" spans="2:8">
      <c r="B20" s="151" t="s">
        <v>17</v>
      </c>
      <c r="C20" s="151">
        <v>1500</v>
      </c>
      <c r="D20" s="136"/>
      <c r="F20" s="128" t="s">
        <v>17</v>
      </c>
      <c r="G20" s="151">
        <v>1500</v>
      </c>
    </row>
    <row r="21" spans="2:8">
      <c r="B21" s="151" t="s">
        <v>33</v>
      </c>
      <c r="C21" s="151">
        <v>1500</v>
      </c>
      <c r="D21" s="136"/>
      <c r="F21" s="128" t="s">
        <v>33</v>
      </c>
      <c r="G21" s="151">
        <v>1500</v>
      </c>
    </row>
    <row r="22" spans="2:8">
      <c r="B22" s="152" t="s">
        <v>11</v>
      </c>
      <c r="C22" s="153">
        <f>SUM(C20:C21)</f>
        <v>3000</v>
      </c>
      <c r="D22" s="137"/>
      <c r="F22" s="152" t="s">
        <v>11</v>
      </c>
      <c r="G22" s="153">
        <f>SUM(G20:G21)</f>
        <v>3000</v>
      </c>
    </row>
    <row r="23" spans="2:8">
      <c r="B23" s="206" t="s">
        <v>18</v>
      </c>
      <c r="C23" s="207"/>
      <c r="D23" s="138"/>
      <c r="F23" s="206" t="s">
        <v>18</v>
      </c>
      <c r="G23" s="207"/>
    </row>
    <row r="24" spans="2:8">
      <c r="B24" s="151" t="s">
        <v>19</v>
      </c>
      <c r="C24" s="151">
        <v>20000</v>
      </c>
      <c r="D24" s="139"/>
      <c r="F24" s="128" t="s">
        <v>19</v>
      </c>
      <c r="G24" s="151">
        <v>20000</v>
      </c>
    </row>
    <row r="25" spans="2:8">
      <c r="B25" s="151" t="s">
        <v>94</v>
      </c>
      <c r="C25" s="129">
        <v>60000</v>
      </c>
      <c r="D25" s="139"/>
      <c r="F25" s="128" t="s">
        <v>94</v>
      </c>
      <c r="G25" s="129">
        <v>60000</v>
      </c>
    </row>
    <row r="26" spans="2:8">
      <c r="B26" s="151" t="s">
        <v>110</v>
      </c>
      <c r="C26" s="151">
        <v>16200</v>
      </c>
      <c r="D26" s="139"/>
      <c r="F26" s="128" t="s">
        <v>110</v>
      </c>
      <c r="G26" s="151">
        <v>16200</v>
      </c>
    </row>
    <row r="27" spans="2:8">
      <c r="B27" s="151" t="s">
        <v>264</v>
      </c>
      <c r="C27" s="151">
        <v>19440</v>
      </c>
      <c r="D27" s="139"/>
      <c r="F27" s="128" t="s">
        <v>264</v>
      </c>
      <c r="G27" s="151">
        <v>19440</v>
      </c>
    </row>
    <row r="28" spans="2:8">
      <c r="B28" s="152" t="s">
        <v>11</v>
      </c>
      <c r="C28" s="153">
        <f>SUM(C24:C26)</f>
        <v>96200</v>
      </c>
      <c r="D28" s="140"/>
      <c r="F28" s="152" t="s">
        <v>11</v>
      </c>
      <c r="G28" s="153">
        <f>SUM(G24:G26)</f>
        <v>96200</v>
      </c>
      <c r="H28" s="143"/>
    </row>
    <row r="29" spans="2:8">
      <c r="B29" s="176"/>
      <c r="C29" s="177"/>
      <c r="F29" s="178"/>
      <c r="G29" s="179"/>
    </row>
    <row r="30" spans="2:8">
      <c r="B30" s="154" t="s">
        <v>20</v>
      </c>
      <c r="C30" s="155">
        <f>SUM(C18,C13,C22,C28)</f>
        <v>226200</v>
      </c>
      <c r="D30" s="140"/>
      <c r="F30" s="154" t="s">
        <v>20</v>
      </c>
      <c r="G30" s="155">
        <f>SUM(G18,G13,G22,G28)</f>
        <v>226200</v>
      </c>
      <c r="H30" s="143"/>
    </row>
    <row r="31" spans="2:8" ht="15.6" thickBot="1">
      <c r="H31" s="143"/>
    </row>
    <row r="32" spans="2:8">
      <c r="B32" s="145" t="s">
        <v>21</v>
      </c>
      <c r="C32" s="146">
        <v>163000</v>
      </c>
      <c r="F32" s="156" t="s">
        <v>22</v>
      </c>
      <c r="G32" s="157">
        <f>158686+2500</f>
        <v>161186</v>
      </c>
    </row>
    <row r="33" spans="2:7">
      <c r="B33" s="147" t="s">
        <v>23</v>
      </c>
      <c r="C33" s="148">
        <v>69000</v>
      </c>
      <c r="F33" s="158" t="s">
        <v>24</v>
      </c>
      <c r="G33" s="159">
        <f>67000+2500</f>
        <v>69500</v>
      </c>
    </row>
    <row r="34" spans="2:7" ht="15.6" thickBot="1">
      <c r="B34" s="147" t="s">
        <v>26</v>
      </c>
      <c r="C34" s="148">
        <v>0</v>
      </c>
      <c r="F34" s="160" t="s">
        <v>27</v>
      </c>
      <c r="G34" s="161">
        <f>SUM(G32:G33)</f>
        <v>230686</v>
      </c>
    </row>
    <row r="35" spans="2:7" ht="15.6" thickBot="1">
      <c r="B35" s="149" t="s">
        <v>11</v>
      </c>
      <c r="C35" s="150">
        <f>SUM(C32:C34)</f>
        <v>232000</v>
      </c>
    </row>
    <row r="36" spans="2:7">
      <c r="B36" s="141" t="s">
        <v>28</v>
      </c>
      <c r="C36" s="141">
        <f>G30</f>
        <v>226200</v>
      </c>
    </row>
    <row r="38" spans="2:7">
      <c r="B38" s="141" t="s">
        <v>36</v>
      </c>
      <c r="C38" s="144">
        <f>C35-C36</f>
        <v>5800</v>
      </c>
    </row>
    <row r="40" spans="2:7">
      <c r="D40" s="144"/>
    </row>
  </sheetData>
  <mergeCells count="12">
    <mergeCell ref="B19:C19"/>
    <mergeCell ref="F19:G19"/>
    <mergeCell ref="B23:C23"/>
    <mergeCell ref="F23:G23"/>
    <mergeCell ref="B29:C29"/>
    <mergeCell ref="F29:G29"/>
    <mergeCell ref="B2:C2"/>
    <mergeCell ref="F2:G2"/>
    <mergeCell ref="B3:C3"/>
    <mergeCell ref="F3:G3"/>
    <mergeCell ref="B14:C14"/>
    <mergeCell ref="F14:G1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94FB-B52D-40C3-9E06-D585DCFABA8D}">
  <dimension ref="B2:M32"/>
  <sheetViews>
    <sheetView showGridLines="0" zoomScale="98" zoomScaleNormal="98" workbookViewId="0">
      <selection activeCell="I4" sqref="I4"/>
    </sheetView>
  </sheetViews>
  <sheetFormatPr defaultColWidth="8.77734375" defaultRowHeight="14.4"/>
  <cols>
    <col min="1" max="1" width="1.33203125" style="114" customWidth="1"/>
    <col min="2" max="2" width="8.77734375" style="114"/>
    <col min="3" max="3" width="15.21875" style="114" bestFit="1" customWidth="1"/>
    <col min="4" max="4" width="18" style="114" bestFit="1" customWidth="1"/>
    <col min="5" max="5" width="12.88671875" style="114" bestFit="1" customWidth="1"/>
    <col min="6" max="6" width="11.33203125" style="114" bestFit="1" customWidth="1"/>
    <col min="7" max="7" width="10.88671875" style="114" bestFit="1" customWidth="1"/>
    <col min="8" max="10" width="8.77734375" style="115"/>
    <col min="11" max="11" width="9.44140625" style="116" bestFit="1" customWidth="1"/>
    <col min="12" max="12" width="9.33203125" style="116" customWidth="1"/>
    <col min="13" max="13" width="8.77734375" style="115" customWidth="1"/>
    <col min="14" max="14" width="8.77734375" style="114" customWidth="1"/>
    <col min="15" max="16384" width="8.77734375" style="114"/>
  </cols>
  <sheetData>
    <row r="2" spans="2:13">
      <c r="B2" s="113" t="s">
        <v>143</v>
      </c>
    </row>
    <row r="3" spans="2:13">
      <c r="B3" s="117" t="s">
        <v>141</v>
      </c>
      <c r="C3" s="117" t="s">
        <v>146</v>
      </c>
      <c r="D3" s="117" t="s">
        <v>142</v>
      </c>
      <c r="E3" s="117" t="s">
        <v>144</v>
      </c>
      <c r="F3" s="117" t="s">
        <v>145</v>
      </c>
      <c r="G3" s="117" t="s">
        <v>153</v>
      </c>
      <c r="H3" s="118" t="s">
        <v>154</v>
      </c>
      <c r="I3" s="118" t="s">
        <v>155</v>
      </c>
      <c r="J3" s="118"/>
    </row>
    <row r="4" spans="2:13">
      <c r="B4" s="119" t="s">
        <v>147</v>
      </c>
      <c r="C4" s="119" t="s">
        <v>148</v>
      </c>
      <c r="D4" s="120"/>
      <c r="E4" s="120"/>
      <c r="F4" s="120"/>
      <c r="G4" s="120"/>
      <c r="H4" s="118" t="s">
        <v>58</v>
      </c>
      <c r="I4" s="118" t="s">
        <v>270</v>
      </c>
      <c r="J4" s="118"/>
    </row>
    <row r="5" spans="2:13">
      <c r="B5" s="119" t="s">
        <v>147</v>
      </c>
      <c r="C5" s="119" t="s">
        <v>35</v>
      </c>
      <c r="D5" s="120"/>
      <c r="E5" s="120"/>
      <c r="F5" s="120"/>
      <c r="G5" s="120"/>
      <c r="H5" s="118" t="s">
        <v>58</v>
      </c>
      <c r="I5" s="118" t="s">
        <v>258</v>
      </c>
      <c r="J5" s="118"/>
    </row>
    <row r="6" spans="2:13">
      <c r="B6" s="119" t="s">
        <v>147</v>
      </c>
      <c r="C6" s="119" t="s">
        <v>149</v>
      </c>
      <c r="D6" s="120">
        <v>7888126647</v>
      </c>
      <c r="E6" s="120">
        <v>30673395793</v>
      </c>
      <c r="F6" s="120" t="s">
        <v>151</v>
      </c>
      <c r="G6" s="120"/>
      <c r="H6" s="118"/>
      <c r="I6" s="118" t="s">
        <v>259</v>
      </c>
    </row>
    <row r="7" spans="2:13">
      <c r="B7" s="119" t="s">
        <v>34</v>
      </c>
      <c r="C7" s="119" t="s">
        <v>148</v>
      </c>
      <c r="D7" s="120"/>
      <c r="E7" s="120"/>
      <c r="F7" s="120"/>
      <c r="G7" s="120"/>
      <c r="H7" s="118" t="s">
        <v>158</v>
      </c>
      <c r="I7" s="118" t="s">
        <v>103</v>
      </c>
      <c r="J7" s="118"/>
    </row>
    <row r="8" spans="2:13">
      <c r="B8" s="119" t="s">
        <v>34</v>
      </c>
      <c r="C8" s="119" t="s">
        <v>35</v>
      </c>
      <c r="D8" s="120"/>
      <c r="E8" s="120"/>
      <c r="F8" s="120"/>
      <c r="G8" s="120"/>
      <c r="H8" s="118" t="s">
        <v>34</v>
      </c>
      <c r="I8" s="118" t="s">
        <v>117</v>
      </c>
      <c r="J8" s="118"/>
      <c r="M8" s="118"/>
    </row>
    <row r="9" spans="2:13">
      <c r="B9" s="119" t="s">
        <v>34</v>
      </c>
      <c r="C9" s="119" t="s">
        <v>149</v>
      </c>
      <c r="D9" s="120">
        <v>7781107466</v>
      </c>
      <c r="E9" s="120">
        <v>30644693158</v>
      </c>
      <c r="F9" s="120" t="s">
        <v>151</v>
      </c>
      <c r="G9" s="120"/>
      <c r="H9" s="118">
        <v>30644693158</v>
      </c>
      <c r="I9" s="118" t="s">
        <v>103</v>
      </c>
      <c r="J9" s="118"/>
    </row>
    <row r="10" spans="2:13">
      <c r="B10" s="119" t="s">
        <v>150</v>
      </c>
      <c r="C10" s="119" t="s">
        <v>148</v>
      </c>
      <c r="D10" s="121">
        <v>613601506793</v>
      </c>
      <c r="E10" s="120">
        <v>526332618</v>
      </c>
      <c r="F10" s="120"/>
      <c r="G10" s="119" t="s">
        <v>118</v>
      </c>
      <c r="H10" s="118" t="s">
        <v>46</v>
      </c>
      <c r="I10" s="118" t="s">
        <v>105</v>
      </c>
      <c r="J10" s="118"/>
    </row>
    <row r="11" spans="2:13">
      <c r="B11" s="119" t="s">
        <v>150</v>
      </c>
      <c r="C11" s="119" t="s">
        <v>54</v>
      </c>
      <c r="D11" s="121">
        <v>1135110060051750</v>
      </c>
      <c r="E11" s="120" t="s">
        <v>247</v>
      </c>
      <c r="F11" s="120"/>
      <c r="G11" s="120"/>
      <c r="H11" s="118">
        <v>1135701139</v>
      </c>
      <c r="I11" s="118" t="s">
        <v>246</v>
      </c>
      <c r="J11" s="122"/>
    </row>
    <row r="12" spans="2:13">
      <c r="B12" s="119" t="s">
        <v>150</v>
      </c>
      <c r="C12" s="119" t="s">
        <v>35</v>
      </c>
      <c r="D12" s="166" t="s">
        <v>152</v>
      </c>
      <c r="E12" s="120"/>
      <c r="F12" s="120"/>
      <c r="G12" s="120"/>
      <c r="H12" s="118" t="s">
        <v>50</v>
      </c>
      <c r="I12" s="118" t="s">
        <v>258</v>
      </c>
      <c r="J12" s="122"/>
    </row>
    <row r="13" spans="2:13">
      <c r="B13" s="119" t="s">
        <v>106</v>
      </c>
      <c r="C13" s="119" t="s">
        <v>148</v>
      </c>
      <c r="D13" s="120"/>
      <c r="E13" s="120"/>
      <c r="F13" s="120"/>
      <c r="G13" s="120"/>
      <c r="H13" s="118" t="s">
        <v>104</v>
      </c>
      <c r="I13" s="118" t="s">
        <v>103</v>
      </c>
      <c r="J13" s="122"/>
    </row>
    <row r="14" spans="2:13">
      <c r="B14" s="119" t="s">
        <v>34</v>
      </c>
      <c r="C14" s="171" t="s">
        <v>156</v>
      </c>
      <c r="D14" s="120">
        <v>5546370220165810</v>
      </c>
      <c r="E14" s="120">
        <v>961208524</v>
      </c>
      <c r="F14" s="120"/>
      <c r="G14" s="120"/>
      <c r="H14" s="118" t="s">
        <v>158</v>
      </c>
      <c r="I14" s="118" t="s">
        <v>105</v>
      </c>
      <c r="J14" s="122"/>
    </row>
    <row r="15" spans="2:13">
      <c r="B15" s="119" t="s">
        <v>34</v>
      </c>
      <c r="C15" s="124" t="s">
        <v>157</v>
      </c>
      <c r="D15" s="120"/>
      <c r="E15" s="120"/>
      <c r="F15" s="120"/>
      <c r="G15" s="120"/>
      <c r="H15" s="118" t="s">
        <v>158</v>
      </c>
      <c r="I15" s="118" t="s">
        <v>99</v>
      </c>
      <c r="J15" s="122"/>
    </row>
    <row r="16" spans="2:13">
      <c r="B16" s="119"/>
      <c r="C16" s="124" t="s">
        <v>159</v>
      </c>
      <c r="D16" s="120"/>
      <c r="E16" s="120"/>
      <c r="F16" s="120"/>
      <c r="G16" s="120"/>
      <c r="H16" s="118" t="s">
        <v>64</v>
      </c>
      <c r="I16" s="118" t="s">
        <v>261</v>
      </c>
      <c r="J16" s="122"/>
    </row>
    <row r="17" spans="2:13">
      <c r="B17" s="125" t="s">
        <v>34</v>
      </c>
      <c r="C17" s="124" t="s">
        <v>66</v>
      </c>
      <c r="D17" s="120" t="s">
        <v>83</v>
      </c>
      <c r="E17" s="120"/>
      <c r="F17" s="120"/>
      <c r="G17" s="120"/>
      <c r="H17" s="118" t="s">
        <v>67</v>
      </c>
      <c r="I17" s="118" t="s">
        <v>100</v>
      </c>
      <c r="J17" s="122"/>
    </row>
    <row r="18" spans="2:13">
      <c r="B18" s="125" t="s">
        <v>147</v>
      </c>
      <c r="C18" s="124" t="s">
        <v>66</v>
      </c>
      <c r="D18" s="120" t="s">
        <v>180</v>
      </c>
      <c r="E18" s="120">
        <v>630147890</v>
      </c>
      <c r="F18" s="120"/>
      <c r="G18" s="120"/>
      <c r="H18" s="118" t="s">
        <v>260</v>
      </c>
      <c r="I18" s="118"/>
      <c r="J18" s="122"/>
    </row>
    <row r="19" spans="2:13">
      <c r="B19" s="126" t="s">
        <v>34</v>
      </c>
      <c r="C19" s="126" t="s">
        <v>187</v>
      </c>
      <c r="D19" s="120" t="s">
        <v>186</v>
      </c>
      <c r="E19" s="120"/>
      <c r="F19" s="120"/>
      <c r="G19" s="120"/>
      <c r="H19" s="118" t="s">
        <v>67</v>
      </c>
      <c r="I19" s="118" t="s">
        <v>100</v>
      </c>
      <c r="J19" s="122"/>
    </row>
    <row r="20" spans="2:13">
      <c r="B20" s="127"/>
      <c r="C20" s="127"/>
      <c r="H20" s="118"/>
      <c r="I20" s="118"/>
      <c r="J20" s="122"/>
    </row>
    <row r="21" spans="2:13">
      <c r="B21" s="113" t="s">
        <v>140</v>
      </c>
      <c r="H21" s="118"/>
      <c r="I21" s="118"/>
      <c r="J21" s="118"/>
    </row>
    <row r="22" spans="2:13">
      <c r="B22" s="117" t="s">
        <v>141</v>
      </c>
      <c r="C22" s="117" t="s">
        <v>142</v>
      </c>
      <c r="D22" s="117"/>
      <c r="E22" s="117" t="s">
        <v>75</v>
      </c>
    </row>
    <row r="23" spans="2:13">
      <c r="B23" s="119" t="s">
        <v>33</v>
      </c>
      <c r="C23" s="187" t="s">
        <v>74</v>
      </c>
      <c r="D23" s="187"/>
      <c r="E23" s="123" t="s">
        <v>76</v>
      </c>
      <c r="H23" s="118"/>
      <c r="I23" s="118"/>
      <c r="J23" s="118"/>
      <c r="M23" s="118" t="s">
        <v>101</v>
      </c>
    </row>
    <row r="24" spans="2:13">
      <c r="B24" s="119" t="s">
        <v>34</v>
      </c>
      <c r="C24" s="187" t="s">
        <v>86</v>
      </c>
      <c r="D24" s="187"/>
      <c r="E24" s="123" t="s">
        <v>85</v>
      </c>
    </row>
    <row r="26" spans="2:13">
      <c r="B26" s="116" t="s">
        <v>71</v>
      </c>
      <c r="C26" s="116" t="s">
        <v>72</v>
      </c>
      <c r="D26" s="115"/>
    </row>
    <row r="29" spans="2:13">
      <c r="D29" s="114">
        <v>56161</v>
      </c>
      <c r="K29" s="188"/>
      <c r="L29" s="188"/>
    </row>
    <row r="30" spans="2:13">
      <c r="B30" s="114" t="s">
        <v>269</v>
      </c>
      <c r="D30" s="114">
        <v>61656</v>
      </c>
    </row>
    <row r="31" spans="2:13">
      <c r="B31" s="114" t="s">
        <v>267</v>
      </c>
    </row>
    <row r="32" spans="2:13">
      <c r="B32" s="114" t="s">
        <v>268</v>
      </c>
    </row>
  </sheetData>
  <mergeCells count="3">
    <mergeCell ref="C23:D23"/>
    <mergeCell ref="C24:D24"/>
    <mergeCell ref="K29:L29"/>
  </mergeCells>
  <hyperlinks>
    <hyperlink ref="I13" r:id="rId1" xr:uid="{6CC621B9-41C6-483F-BE30-D3D4F9D8AF02}"/>
    <hyperlink ref="I7" r:id="rId2" xr:uid="{830C8DCA-7F59-4076-A1ED-8A8FD7EECECB}"/>
    <hyperlink ref="I9" r:id="rId3" xr:uid="{4871EA09-B5F5-45F2-B196-42DB57EE8377}"/>
    <hyperlink ref="I5" r:id="rId4" display="Vad@220789 / Anitha_04 / 280979" xr:uid="{17B94F80-7D70-46CF-8C8C-3BEE37DF4C64}"/>
    <hyperlink ref="I4" r:id="rId5" xr:uid="{6F2BAAE0-7032-4B7C-BFD5-1D9195A42874}"/>
    <hyperlink ref="I16" r:id="rId6" xr:uid="{93A2D08C-9BCE-4665-8018-325B1006FB0D}"/>
    <hyperlink ref="I12" r:id="rId7" display="Vad@220708" xr:uid="{73E86B8A-2AEB-4776-B377-EA2DE45D9FEB}"/>
    <hyperlink ref="I14" r:id="rId8" xr:uid="{C923B072-64D3-4451-9699-54E9C1A152D3}"/>
    <hyperlink ref="I15" r:id="rId9" xr:uid="{E26D9ACF-5341-4BF4-B3DF-3B9B685743F4}"/>
  </hyperlinks>
  <pageMargins left="0.7" right="0.7" top="0.75" bottom="0.75" header="0.3" footer="0.3"/>
  <ignoredErrors>
    <ignoredError sqref="D1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8"/>
  <dimension ref="B1:AF52"/>
  <sheetViews>
    <sheetView showGridLines="0" zoomScale="110" zoomScaleNormal="110" workbookViewId="0">
      <selection activeCell="B9" sqref="B9"/>
    </sheetView>
  </sheetViews>
  <sheetFormatPr defaultColWidth="9" defaultRowHeight="14.4"/>
  <cols>
    <col min="1" max="1" width="0.77734375" customWidth="1"/>
    <col min="2" max="2" width="22.21875" customWidth="1"/>
    <col min="3" max="3" width="8.77734375" bestFit="1" customWidth="1"/>
    <col min="4" max="4" width="6" bestFit="1" customWidth="1"/>
    <col min="5" max="5" width="7.21875" bestFit="1" customWidth="1"/>
    <col min="6" max="6" width="5.77734375" bestFit="1" customWidth="1"/>
    <col min="7" max="7" width="9.77734375" style="1" bestFit="1" customWidth="1"/>
    <col min="8" max="8" width="10.21875" style="1" customWidth="1"/>
    <col min="9" max="9" width="0.5546875" customWidth="1"/>
    <col min="10" max="10" width="14.21875" customWidth="1"/>
    <col min="11" max="11" width="5.21875" bestFit="1" customWidth="1"/>
    <col min="12" max="13" width="8" bestFit="1" customWidth="1"/>
    <col min="14" max="14" width="0.5546875" customWidth="1"/>
    <col min="15" max="15" width="11.88671875" style="4" bestFit="1" customWidth="1"/>
    <col min="16" max="16" width="8.77734375" style="4" bestFit="1" customWidth="1"/>
    <col min="17" max="17" width="9" style="4" customWidth="1"/>
    <col min="18" max="18" width="1.21875" style="4" customWidth="1"/>
    <col min="19" max="19" width="8" style="4" hidden="1" customWidth="1"/>
    <col min="20" max="20" width="6.88671875" style="4" hidden="1" customWidth="1"/>
    <col min="21" max="21" width="1.109375" style="4" customWidth="1"/>
    <col min="22" max="22" width="10.88671875" style="4" hidden="1" customWidth="1"/>
    <col min="23" max="23" width="9.21875" style="4" hidden="1" customWidth="1"/>
    <col min="24" max="24" width="9.44140625" style="4" hidden="1" customWidth="1"/>
    <col min="25" max="25" width="8" style="4" hidden="1" customWidth="1"/>
    <col min="26" max="26" width="6.88671875" style="4" hidden="1" customWidth="1"/>
    <col min="27" max="27" width="1.109375" style="4" hidden="1" customWidth="1"/>
    <col min="28" max="28" width="8" style="4" hidden="1" customWidth="1"/>
    <col min="29" max="29" width="6.77734375" style="4" hidden="1" customWidth="1"/>
    <col min="30" max="30" width="1.109375" style="4" hidden="1" customWidth="1"/>
    <col min="31" max="31" width="0" style="4" hidden="1" customWidth="1"/>
    <col min="32" max="32" width="9" style="4" customWidth="1"/>
  </cols>
  <sheetData>
    <row r="1" spans="2:31" ht="7.95" customHeight="1" thickBot="1"/>
    <row r="2" spans="2:31" ht="15" thickBot="1">
      <c r="B2" s="189" t="s">
        <v>12</v>
      </c>
      <c r="C2" s="190"/>
      <c r="D2" s="190"/>
      <c r="E2" s="190"/>
      <c r="F2" s="190"/>
      <c r="G2" s="190"/>
      <c r="H2" s="191"/>
      <c r="J2" s="192" t="s">
        <v>37</v>
      </c>
      <c r="K2" s="193"/>
      <c r="L2" s="193"/>
      <c r="M2" s="194"/>
      <c r="O2" s="197" t="s">
        <v>96</v>
      </c>
      <c r="P2" s="198"/>
      <c r="Q2" s="199"/>
      <c r="T2" s="50">
        <f>200000</f>
        <v>200000</v>
      </c>
      <c r="U2" s="50"/>
      <c r="V2" s="4" t="s">
        <v>88</v>
      </c>
      <c r="Z2" s="50">
        <f>200000</f>
        <v>200000</v>
      </c>
      <c r="AA2" s="50"/>
      <c r="AC2" s="50">
        <f>200000+200000</f>
        <v>400000</v>
      </c>
      <c r="AD2" s="50"/>
    </row>
    <row r="3" spans="2:31" ht="15" thickBot="1">
      <c r="B3" s="35" t="s">
        <v>38</v>
      </c>
      <c r="C3" s="36" t="s">
        <v>39</v>
      </c>
      <c r="D3" s="36" t="s">
        <v>40</v>
      </c>
      <c r="E3" s="36" t="s">
        <v>41</v>
      </c>
      <c r="F3" s="36" t="s">
        <v>42</v>
      </c>
      <c r="G3" s="36"/>
      <c r="H3" s="37"/>
      <c r="J3" s="66" t="s">
        <v>43</v>
      </c>
      <c r="K3" s="67" t="s">
        <v>44</v>
      </c>
      <c r="L3" s="68" t="s">
        <v>45</v>
      </c>
      <c r="M3" s="69" t="s">
        <v>45</v>
      </c>
      <c r="O3" s="83" t="s">
        <v>43</v>
      </c>
      <c r="P3" s="84" t="s">
        <v>97</v>
      </c>
      <c r="Q3" s="85" t="s">
        <v>87</v>
      </c>
      <c r="S3" s="52">
        <v>45483</v>
      </c>
      <c r="T3" s="53">
        <f>10000*2</f>
        <v>20000</v>
      </c>
      <c r="V3" s="51" t="s">
        <v>89</v>
      </c>
      <c r="W3" s="51" t="s">
        <v>90</v>
      </c>
      <c r="X3" s="51" t="s">
        <v>87</v>
      </c>
      <c r="Y3" s="54">
        <v>45026</v>
      </c>
      <c r="Z3" s="55">
        <v>10000</v>
      </c>
      <c r="AB3" s="54">
        <v>44995</v>
      </c>
      <c r="AC3" s="55">
        <v>20000</v>
      </c>
      <c r="AE3" s="3" t="s">
        <v>73</v>
      </c>
    </row>
    <row r="4" spans="2:31" ht="15" customHeight="1">
      <c r="B4" s="38" t="s">
        <v>47</v>
      </c>
      <c r="C4" s="39">
        <v>400000</v>
      </c>
      <c r="D4" s="39">
        <v>28855</v>
      </c>
      <c r="E4" s="40">
        <v>40118</v>
      </c>
      <c r="F4" s="40">
        <v>45962</v>
      </c>
      <c r="G4" s="39" t="s">
        <v>48</v>
      </c>
      <c r="H4" s="41">
        <v>364234970</v>
      </c>
      <c r="J4" s="7" t="s">
        <v>49</v>
      </c>
      <c r="K4" s="8">
        <v>12871</v>
      </c>
      <c r="L4" s="9">
        <v>42043</v>
      </c>
      <c r="M4" s="10">
        <v>43320</v>
      </c>
      <c r="O4" s="80" t="s">
        <v>98</v>
      </c>
      <c r="P4" s="81">
        <v>45085</v>
      </c>
      <c r="Q4" s="82">
        <v>15000</v>
      </c>
      <c r="S4" s="52">
        <v>45514</v>
      </c>
      <c r="T4" s="53">
        <f t="shared" ref="T4:T18" si="0">10000*2</f>
        <v>20000</v>
      </c>
      <c r="V4" s="56" t="s">
        <v>91</v>
      </c>
      <c r="W4" s="57">
        <v>45299</v>
      </c>
      <c r="X4" s="56">
        <v>10000</v>
      </c>
      <c r="Y4" s="54">
        <v>45056</v>
      </c>
      <c r="Z4" s="55">
        <v>10000</v>
      </c>
      <c r="AB4" s="54">
        <v>45026</v>
      </c>
      <c r="AC4" s="55">
        <v>20000</v>
      </c>
      <c r="AE4" s="3">
        <v>230607</v>
      </c>
    </row>
    <row r="5" spans="2:31" ht="15" customHeight="1">
      <c r="B5" s="38" t="s">
        <v>51</v>
      </c>
      <c r="C5" s="39">
        <v>510000</v>
      </c>
      <c r="D5" s="39">
        <v>25448</v>
      </c>
      <c r="E5" s="40">
        <v>40210</v>
      </c>
      <c r="F5" s="40">
        <v>46054</v>
      </c>
      <c r="G5" s="39" t="s">
        <v>52</v>
      </c>
      <c r="H5" s="41">
        <v>364237898</v>
      </c>
      <c r="J5" s="11" t="s">
        <v>53</v>
      </c>
      <c r="K5" s="12">
        <v>10828</v>
      </c>
      <c r="L5" s="13">
        <v>42043</v>
      </c>
      <c r="M5" s="14">
        <v>43320</v>
      </c>
      <c r="O5" s="73" t="s">
        <v>98</v>
      </c>
      <c r="P5" s="57">
        <v>45122</v>
      </c>
      <c r="Q5" s="41">
        <v>8000</v>
      </c>
      <c r="S5" s="52">
        <v>45545</v>
      </c>
      <c r="T5" s="53">
        <f t="shared" si="0"/>
        <v>20000</v>
      </c>
      <c r="V5" s="56" t="s">
        <v>92</v>
      </c>
      <c r="W5" s="57">
        <v>45348</v>
      </c>
      <c r="X5" s="56">
        <v>2500000</v>
      </c>
      <c r="Y5" s="54">
        <v>45087</v>
      </c>
      <c r="Z5" s="55">
        <v>10000</v>
      </c>
      <c r="AB5" s="54">
        <v>45056</v>
      </c>
      <c r="AC5" s="55">
        <v>20000</v>
      </c>
    </row>
    <row r="6" spans="2:31" ht="15" customHeight="1">
      <c r="B6" s="42" t="s">
        <v>55</v>
      </c>
      <c r="C6" s="39">
        <v>400000</v>
      </c>
      <c r="D6" s="39">
        <v>21430</v>
      </c>
      <c r="E6" s="40">
        <v>40210</v>
      </c>
      <c r="F6" s="40">
        <v>46419</v>
      </c>
      <c r="G6" s="40" t="s">
        <v>56</v>
      </c>
      <c r="H6" s="41">
        <v>364237899</v>
      </c>
      <c r="J6" s="11" t="s">
        <v>57</v>
      </c>
      <c r="K6" s="12">
        <v>12494</v>
      </c>
      <c r="L6" s="13">
        <v>43183</v>
      </c>
      <c r="M6" s="14">
        <v>42271</v>
      </c>
      <c r="O6" s="73" t="s">
        <v>108</v>
      </c>
      <c r="P6" s="57">
        <v>45394</v>
      </c>
      <c r="Q6" s="41">
        <v>20000</v>
      </c>
      <c r="S6" s="52">
        <v>45575</v>
      </c>
      <c r="T6" s="53">
        <f t="shared" si="0"/>
        <v>20000</v>
      </c>
      <c r="V6" s="56" t="s">
        <v>93</v>
      </c>
      <c r="W6" s="57">
        <v>45348</v>
      </c>
      <c r="X6" s="56">
        <v>2500000</v>
      </c>
      <c r="Y6" s="54">
        <v>45117</v>
      </c>
      <c r="Z6" s="55">
        <v>10000</v>
      </c>
      <c r="AB6" s="54">
        <v>45087</v>
      </c>
      <c r="AC6" s="55">
        <v>20000</v>
      </c>
    </row>
    <row r="7" spans="2:31" ht="15" customHeight="1" thickBot="1">
      <c r="B7" s="42" t="s">
        <v>55</v>
      </c>
      <c r="C7" s="39">
        <v>400000</v>
      </c>
      <c r="D7" s="39">
        <v>24725</v>
      </c>
      <c r="E7" s="40">
        <v>40210</v>
      </c>
      <c r="F7" s="40">
        <v>46419</v>
      </c>
      <c r="G7" s="40" t="s">
        <v>59</v>
      </c>
      <c r="H7" s="41">
        <v>617155338</v>
      </c>
      <c r="J7" s="101" t="s">
        <v>60</v>
      </c>
      <c r="K7" s="102">
        <v>14654</v>
      </c>
      <c r="L7" s="103">
        <v>43244</v>
      </c>
      <c r="M7" s="104">
        <v>42332</v>
      </c>
      <c r="O7" s="73" t="s">
        <v>114</v>
      </c>
      <c r="P7" s="57">
        <v>45394</v>
      </c>
      <c r="Q7" s="41">
        <v>25000</v>
      </c>
      <c r="S7" s="52">
        <v>45606</v>
      </c>
      <c r="T7" s="53">
        <f t="shared" si="0"/>
        <v>20000</v>
      </c>
      <c r="V7" s="56" t="s">
        <v>102</v>
      </c>
      <c r="W7" s="57">
        <v>45378</v>
      </c>
      <c r="X7" s="56">
        <v>3500000</v>
      </c>
      <c r="Y7" s="54">
        <v>45148</v>
      </c>
      <c r="Z7" s="55">
        <v>10000</v>
      </c>
      <c r="AB7" s="54">
        <v>45117</v>
      </c>
      <c r="AC7" s="55">
        <v>20000</v>
      </c>
    </row>
    <row r="8" spans="2:31">
      <c r="B8" s="43" t="s">
        <v>84</v>
      </c>
      <c r="C8" s="39">
        <v>2300000</v>
      </c>
      <c r="D8" s="39">
        <v>200000</v>
      </c>
      <c r="E8" s="40">
        <v>44400</v>
      </c>
      <c r="F8" s="40">
        <v>45861</v>
      </c>
      <c r="G8" s="40" t="s">
        <v>48</v>
      </c>
      <c r="H8" s="44" t="s">
        <v>83</v>
      </c>
      <c r="J8" s="105" t="s">
        <v>61</v>
      </c>
      <c r="K8" s="106">
        <v>100000</v>
      </c>
      <c r="L8" s="107">
        <v>44400</v>
      </c>
      <c r="M8" s="108"/>
      <c r="O8" s="73" t="s">
        <v>106</v>
      </c>
      <c r="P8" s="57">
        <v>45431</v>
      </c>
      <c r="Q8" s="41">
        <v>20000</v>
      </c>
      <c r="S8" s="52">
        <v>45636</v>
      </c>
      <c r="T8" s="53">
        <f t="shared" si="0"/>
        <v>20000</v>
      </c>
      <c r="V8" s="56" t="s">
        <v>93</v>
      </c>
      <c r="W8" s="57">
        <v>45378</v>
      </c>
      <c r="X8" s="56">
        <v>3875000</v>
      </c>
      <c r="Y8" s="54">
        <v>45179</v>
      </c>
      <c r="Z8" s="55">
        <v>10000</v>
      </c>
      <c r="AB8" s="54">
        <v>45148</v>
      </c>
      <c r="AC8" s="55">
        <v>20000</v>
      </c>
    </row>
    <row r="9" spans="2:31" ht="15" customHeight="1">
      <c r="B9" s="86" t="s">
        <v>195</v>
      </c>
      <c r="C9" s="87">
        <v>1100000</v>
      </c>
      <c r="D9" s="39">
        <v>104500</v>
      </c>
      <c r="E9" s="40">
        <v>45588</v>
      </c>
      <c r="F9" s="88">
        <v>49240</v>
      </c>
      <c r="G9" s="88" t="s">
        <v>52</v>
      </c>
      <c r="H9" s="89" t="s">
        <v>180</v>
      </c>
      <c r="J9" s="111" t="s">
        <v>181</v>
      </c>
      <c r="K9" s="109">
        <v>104500</v>
      </c>
      <c r="L9" s="110">
        <v>45588</v>
      </c>
      <c r="M9" s="112"/>
      <c r="O9" s="73" t="s">
        <v>96</v>
      </c>
      <c r="P9" s="57">
        <v>45402</v>
      </c>
      <c r="Q9" s="41">
        <v>3600</v>
      </c>
      <c r="S9" s="58">
        <v>45667</v>
      </c>
      <c r="T9" s="59">
        <f>10000*2</f>
        <v>20000</v>
      </c>
      <c r="V9" s="56"/>
      <c r="W9" s="57"/>
      <c r="X9" s="56">
        <v>-10000</v>
      </c>
      <c r="Y9" s="54">
        <v>45209</v>
      </c>
      <c r="Z9" s="55">
        <v>10000</v>
      </c>
      <c r="AB9" s="54">
        <v>45179</v>
      </c>
      <c r="AC9" s="55">
        <v>20000</v>
      </c>
    </row>
    <row r="10" spans="2:31" ht="15" customHeight="1" thickBot="1">
      <c r="B10" s="86" t="s">
        <v>187</v>
      </c>
      <c r="C10" s="87">
        <v>103000</v>
      </c>
      <c r="D10" s="87">
        <v>103000</v>
      </c>
      <c r="E10" s="88">
        <v>45620</v>
      </c>
      <c r="F10" s="88">
        <v>11651</v>
      </c>
      <c r="G10" s="88" t="s">
        <v>48</v>
      </c>
      <c r="H10" s="89" t="s">
        <v>186</v>
      </c>
      <c r="J10" s="15" t="s">
        <v>185</v>
      </c>
      <c r="K10" s="16">
        <v>103000</v>
      </c>
      <c r="L10" s="17">
        <v>45620</v>
      </c>
      <c r="M10" s="18"/>
      <c r="O10" s="73" t="s">
        <v>111</v>
      </c>
      <c r="P10" s="57">
        <v>45433</v>
      </c>
      <c r="Q10" s="41">
        <v>20000</v>
      </c>
      <c r="S10" s="58">
        <v>45698</v>
      </c>
      <c r="T10" s="59">
        <f t="shared" si="0"/>
        <v>20000</v>
      </c>
      <c r="V10" s="56" t="s">
        <v>11</v>
      </c>
      <c r="W10" s="56"/>
      <c r="X10" s="60">
        <f>SUM(X4:X9)</f>
        <v>12375000</v>
      </c>
      <c r="Y10" s="54">
        <v>45240</v>
      </c>
      <c r="Z10" s="55">
        <v>10000</v>
      </c>
      <c r="AB10" s="54">
        <v>45209</v>
      </c>
      <c r="AC10" s="55">
        <v>20000</v>
      </c>
    </row>
    <row r="11" spans="2:31" ht="15.45" customHeight="1">
      <c r="B11" s="86" t="s">
        <v>251</v>
      </c>
      <c r="C11" s="87"/>
      <c r="D11" s="87">
        <v>10558</v>
      </c>
      <c r="E11" s="88">
        <v>45444</v>
      </c>
      <c r="F11" s="88"/>
      <c r="G11" s="88" t="s">
        <v>52</v>
      </c>
      <c r="H11" s="89" t="s">
        <v>252</v>
      </c>
      <c r="J11" s="19" t="s">
        <v>62</v>
      </c>
      <c r="K11" s="20">
        <v>3020</v>
      </c>
      <c r="L11" s="21">
        <v>42113</v>
      </c>
      <c r="M11" s="22"/>
      <c r="O11" s="73" t="s">
        <v>120</v>
      </c>
      <c r="P11" s="57">
        <v>45501</v>
      </c>
      <c r="Q11" s="41">
        <v>15000</v>
      </c>
      <c r="S11" s="58">
        <v>45726</v>
      </c>
      <c r="T11" s="59">
        <f t="shared" si="0"/>
        <v>20000</v>
      </c>
      <c r="Y11" s="54">
        <v>45270</v>
      </c>
      <c r="Z11" s="55">
        <v>10000</v>
      </c>
      <c r="AB11" s="54">
        <v>45240</v>
      </c>
      <c r="AC11" s="55">
        <v>20000</v>
      </c>
    </row>
    <row r="12" spans="2:31" ht="15" customHeight="1" thickBot="1">
      <c r="B12" s="45" t="s">
        <v>82</v>
      </c>
      <c r="C12" s="46">
        <v>850000</v>
      </c>
      <c r="D12" s="46">
        <f>2558.5 + 460.54</f>
        <v>3019.04</v>
      </c>
      <c r="E12" s="47"/>
      <c r="F12" s="47"/>
      <c r="G12" s="47" t="s">
        <v>48</v>
      </c>
      <c r="H12" s="48">
        <v>321694002</v>
      </c>
      <c r="J12" s="23" t="s">
        <v>63</v>
      </c>
      <c r="K12" s="24">
        <v>35000</v>
      </c>
      <c r="L12" s="25">
        <v>42170</v>
      </c>
      <c r="M12" s="26"/>
      <c r="O12" s="73" t="s">
        <v>215</v>
      </c>
      <c r="P12" s="57">
        <v>45741</v>
      </c>
      <c r="Q12" s="41">
        <v>10000</v>
      </c>
      <c r="S12" s="58">
        <v>45757</v>
      </c>
      <c r="T12" s="59">
        <f t="shared" si="0"/>
        <v>20000</v>
      </c>
      <c r="Y12" s="54">
        <v>45301</v>
      </c>
      <c r="Z12" s="55">
        <v>10000</v>
      </c>
      <c r="AB12" s="54">
        <v>45270</v>
      </c>
      <c r="AC12" s="55">
        <v>20000</v>
      </c>
    </row>
    <row r="13" spans="2:31" ht="13.95" customHeight="1">
      <c r="J13" s="27" t="s">
        <v>65</v>
      </c>
      <c r="K13" s="28">
        <v>1500</v>
      </c>
      <c r="L13" s="29">
        <v>44971</v>
      </c>
      <c r="M13" s="30"/>
      <c r="O13" s="73"/>
      <c r="P13" s="57"/>
      <c r="Q13" s="41"/>
      <c r="R13" s="61"/>
      <c r="S13" s="58">
        <v>45787</v>
      </c>
      <c r="T13" s="59">
        <f t="shared" si="0"/>
        <v>20000</v>
      </c>
      <c r="Y13" s="54">
        <v>45332</v>
      </c>
      <c r="Z13" s="55">
        <v>10000</v>
      </c>
      <c r="AB13" s="54">
        <v>45301</v>
      </c>
      <c r="AC13" s="55">
        <v>20000</v>
      </c>
    </row>
    <row r="14" spans="2:31" ht="15.45" customHeight="1">
      <c r="B14" s="4" t="s">
        <v>113</v>
      </c>
      <c r="J14" s="27" t="s">
        <v>68</v>
      </c>
      <c r="K14" s="28">
        <v>1400</v>
      </c>
      <c r="L14" s="29">
        <v>44973</v>
      </c>
      <c r="M14" s="30"/>
      <c r="O14" s="74"/>
      <c r="P14" s="75"/>
      <c r="Q14" s="76"/>
      <c r="R14" s="61"/>
      <c r="S14" s="58">
        <v>45818</v>
      </c>
      <c r="T14" s="59">
        <f t="shared" si="0"/>
        <v>20000</v>
      </c>
      <c r="Y14" s="54">
        <v>45361</v>
      </c>
      <c r="Z14" s="55">
        <v>10000</v>
      </c>
      <c r="AB14" s="54">
        <v>45332</v>
      </c>
      <c r="AC14" s="55">
        <v>20000</v>
      </c>
    </row>
    <row r="15" spans="2:31" ht="15" thickBot="1">
      <c r="B15" s="4" t="s">
        <v>183</v>
      </c>
      <c r="D15" s="1"/>
      <c r="J15" s="31" t="s">
        <v>69</v>
      </c>
      <c r="K15" s="32">
        <v>14500</v>
      </c>
      <c r="L15" s="33">
        <v>44986</v>
      </c>
      <c r="M15" s="34"/>
      <c r="O15" s="74"/>
      <c r="P15" s="75"/>
      <c r="Q15" s="76"/>
      <c r="S15" s="58">
        <v>45848</v>
      </c>
      <c r="T15" s="59">
        <f t="shared" si="0"/>
        <v>20000</v>
      </c>
      <c r="Y15" s="54">
        <v>45392</v>
      </c>
      <c r="Z15" s="55">
        <v>10000</v>
      </c>
      <c r="AB15" s="54">
        <v>45361</v>
      </c>
      <c r="AC15" s="55">
        <v>20000</v>
      </c>
    </row>
    <row r="16" spans="2:31" ht="15" thickBot="1">
      <c r="B16" s="4" t="s">
        <v>188</v>
      </c>
      <c r="J16" s="65" t="s">
        <v>11</v>
      </c>
      <c r="K16" s="195">
        <f>SUM(K4:K15)+SUM(K4:K7)</f>
        <v>464614</v>
      </c>
      <c r="L16" s="195"/>
      <c r="M16" s="196"/>
      <c r="O16" s="77" t="s">
        <v>11</v>
      </c>
      <c r="P16" s="78"/>
      <c r="Q16" s="79">
        <f>SUM(Q4:Q12)</f>
        <v>136600</v>
      </c>
      <c r="S16" s="58">
        <v>45879</v>
      </c>
      <c r="T16" s="59">
        <f t="shared" si="0"/>
        <v>20000</v>
      </c>
      <c r="Y16" s="54">
        <v>45422</v>
      </c>
      <c r="Z16" s="55">
        <v>10000</v>
      </c>
      <c r="AB16" s="54">
        <v>45392</v>
      </c>
      <c r="AC16" s="55">
        <v>20000</v>
      </c>
    </row>
    <row r="17" spans="2:30">
      <c r="Q17" s="61">
        <f>(1100000/12) + (2100000/12)</f>
        <v>266666.66666666669</v>
      </c>
      <c r="S17" s="58">
        <v>45910</v>
      </c>
      <c r="T17" s="59">
        <f t="shared" si="0"/>
        <v>20000</v>
      </c>
      <c r="Y17" s="54">
        <v>45453</v>
      </c>
      <c r="Z17" s="55">
        <v>10000</v>
      </c>
      <c r="AB17" s="54">
        <v>45422</v>
      </c>
      <c r="AC17" s="55">
        <v>20000</v>
      </c>
    </row>
    <row r="18" spans="2:30">
      <c r="B18" s="4" t="s">
        <v>255</v>
      </c>
      <c r="J18" s="70" t="s">
        <v>70</v>
      </c>
      <c r="K18" s="71">
        <v>500</v>
      </c>
      <c r="L18" s="4"/>
      <c r="P18" s="3" t="s">
        <v>139</v>
      </c>
      <c r="Q18" s="61">
        <f>Q17-Q16</f>
        <v>130066.66666666669</v>
      </c>
      <c r="S18" s="58">
        <v>45940</v>
      </c>
      <c r="T18" s="59">
        <f t="shared" si="0"/>
        <v>20000</v>
      </c>
      <c r="Y18" s="54">
        <v>45483</v>
      </c>
      <c r="Z18" s="55">
        <v>10000</v>
      </c>
      <c r="AB18" s="54">
        <v>45453</v>
      </c>
      <c r="AC18" s="55">
        <v>20000</v>
      </c>
    </row>
    <row r="19" spans="2:30">
      <c r="B19" s="169" t="s">
        <v>256</v>
      </c>
      <c r="C19" s="163" t="s">
        <v>7</v>
      </c>
      <c r="J19" s="5"/>
      <c r="K19" s="2"/>
      <c r="S19" s="58"/>
      <c r="T19" s="59"/>
      <c r="Y19" s="58"/>
      <c r="Z19" s="59"/>
      <c r="AB19" s="58"/>
      <c r="AC19" s="59"/>
    </row>
    <row r="20" spans="2:30">
      <c r="B20" s="170" t="s">
        <v>257</v>
      </c>
      <c r="M20" s="2"/>
      <c r="O20" s="4" t="s">
        <v>109</v>
      </c>
      <c r="P20" s="49">
        <v>3000000</v>
      </c>
      <c r="Q20" s="49"/>
      <c r="S20" s="58"/>
      <c r="T20" s="59"/>
      <c r="Y20" s="58"/>
      <c r="Z20" s="59"/>
      <c r="AB20" s="58"/>
      <c r="AC20" s="59"/>
    </row>
    <row r="21" spans="2:30">
      <c r="B21" s="4"/>
      <c r="J21" s="72" t="s">
        <v>121</v>
      </c>
      <c r="K21" s="56">
        <v>20000</v>
      </c>
      <c r="L21" s="4" t="s">
        <v>78</v>
      </c>
      <c r="M21" s="2"/>
      <c r="O21" s="4" t="s">
        <v>115</v>
      </c>
      <c r="P21" s="49">
        <v>2500000</v>
      </c>
      <c r="Q21" s="49">
        <v>0</v>
      </c>
      <c r="S21" s="58"/>
      <c r="T21" s="59"/>
      <c r="Y21" s="58"/>
      <c r="Z21" s="59"/>
      <c r="AB21" s="58"/>
      <c r="AC21" s="59"/>
    </row>
    <row r="22" spans="2:30">
      <c r="B22" s="162" t="s">
        <v>204</v>
      </c>
      <c r="C22" t="s">
        <v>7</v>
      </c>
      <c r="J22" s="56" t="s">
        <v>77</v>
      </c>
      <c r="K22" s="56">
        <f>(2100*2)</f>
        <v>4200</v>
      </c>
      <c r="L22" s="4" t="s">
        <v>78</v>
      </c>
      <c r="M22" s="2"/>
      <c r="O22" s="4" t="s">
        <v>115</v>
      </c>
      <c r="P22" s="49"/>
      <c r="Q22" s="49">
        <v>0</v>
      </c>
      <c r="S22" s="58"/>
      <c r="T22" s="59"/>
      <c r="Y22" s="58"/>
      <c r="Z22" s="59"/>
      <c r="AB22" s="58"/>
      <c r="AC22" s="59"/>
    </row>
    <row r="23" spans="2:30">
      <c r="J23" s="4"/>
      <c r="K23" s="4">
        <f>SUM(K21:K22)</f>
        <v>24200</v>
      </c>
      <c r="L23" s="4"/>
      <c r="M23" s="2"/>
      <c r="O23" s="4" t="s">
        <v>189</v>
      </c>
      <c r="P23" s="49">
        <v>500000</v>
      </c>
      <c r="Q23" s="49">
        <v>0</v>
      </c>
      <c r="S23" s="58"/>
      <c r="T23" s="59"/>
      <c r="Y23" s="58"/>
      <c r="Z23" s="59"/>
      <c r="AB23" s="58"/>
      <c r="AC23" s="59"/>
    </row>
    <row r="24" spans="2:30">
      <c r="M24" s="2"/>
      <c r="O24" s="4" t="s">
        <v>107</v>
      </c>
      <c r="P24" s="49">
        <v>200000</v>
      </c>
      <c r="Q24" s="49">
        <v>0</v>
      </c>
      <c r="S24" s="58"/>
      <c r="T24" s="59"/>
      <c r="Y24" s="58"/>
      <c r="Z24" s="59"/>
      <c r="AB24" s="58"/>
      <c r="AC24" s="59"/>
    </row>
    <row r="25" spans="2:30">
      <c r="O25" s="4" t="s">
        <v>119</v>
      </c>
      <c r="P25" s="49">
        <v>200000</v>
      </c>
      <c r="Q25" s="49">
        <v>480000</v>
      </c>
      <c r="S25" s="58"/>
      <c r="T25" s="59"/>
      <c r="Y25" s="58"/>
      <c r="Z25" s="59"/>
      <c r="AB25" s="58"/>
      <c r="AC25" s="59"/>
    </row>
    <row r="26" spans="2:30">
      <c r="M26" s="2"/>
      <c r="O26" s="4" t="s">
        <v>112</v>
      </c>
      <c r="P26" s="49">
        <f>100000</f>
        <v>100000</v>
      </c>
      <c r="Q26" s="49">
        <v>270000</v>
      </c>
      <c r="S26" s="62" t="s">
        <v>32</v>
      </c>
      <c r="T26" s="63">
        <f>SUM(T3:T25)</f>
        <v>320000</v>
      </c>
      <c r="Y26" s="62" t="s">
        <v>32</v>
      </c>
      <c r="Z26" s="63">
        <f>SUM(Z3:Z25)</f>
        <v>160000</v>
      </c>
      <c r="AB26" s="62" t="s">
        <v>32</v>
      </c>
      <c r="AC26" s="63">
        <f>SUM(AC3:AC25)</f>
        <v>320000</v>
      </c>
    </row>
    <row r="27" spans="2:30">
      <c r="O27" s="4" t="s">
        <v>116</v>
      </c>
      <c r="P27" s="49">
        <v>125000</v>
      </c>
      <c r="Q27" s="49">
        <v>0</v>
      </c>
      <c r="S27" s="62" t="s">
        <v>79</v>
      </c>
      <c r="T27" s="64">
        <f>190000*2</f>
        <v>380000</v>
      </c>
      <c r="Y27" s="62" t="s">
        <v>79</v>
      </c>
      <c r="Z27" s="64">
        <v>190000</v>
      </c>
      <c r="AB27" s="62" t="s">
        <v>79</v>
      </c>
      <c r="AC27" s="64">
        <f>380000</f>
        <v>380000</v>
      </c>
    </row>
    <row r="28" spans="2:30">
      <c r="K28" s="1"/>
      <c r="L28" s="1"/>
      <c r="M28" s="1"/>
      <c r="O28" s="4" t="s">
        <v>168</v>
      </c>
      <c r="P28" s="49">
        <v>75000</v>
      </c>
      <c r="Q28" s="49"/>
      <c r="S28" s="56" t="s">
        <v>80</v>
      </c>
      <c r="T28" s="60">
        <f>T27-T26</f>
        <v>60000</v>
      </c>
      <c r="U28" s="49"/>
      <c r="Y28" s="56" t="s">
        <v>80</v>
      </c>
      <c r="Z28" s="60">
        <f>Z27-Z26</f>
        <v>30000</v>
      </c>
      <c r="AA28" s="49"/>
      <c r="AB28" s="56" t="s">
        <v>80</v>
      </c>
      <c r="AC28" s="60">
        <f>AC27-AC26</f>
        <v>60000</v>
      </c>
      <c r="AD28" s="49"/>
    </row>
    <row r="29" spans="2:30">
      <c r="O29" s="4" t="s">
        <v>169</v>
      </c>
      <c r="P29" s="49">
        <v>1000000</v>
      </c>
      <c r="Q29" s="49">
        <v>0</v>
      </c>
    </row>
    <row r="30" spans="2:30">
      <c r="O30" s="4" t="s">
        <v>11</v>
      </c>
      <c r="P30" s="49">
        <f>SUM(P20:P29)</f>
        <v>7700000</v>
      </c>
      <c r="Q30" s="49">
        <f>SUM(Q20:Q29)</f>
        <v>750000</v>
      </c>
    </row>
    <row r="32" spans="2:30">
      <c r="K32" s="1"/>
      <c r="L32" s="1"/>
      <c r="M32" s="1"/>
      <c r="P32" s="49">
        <v>4940000</v>
      </c>
    </row>
    <row r="33" spans="9:17">
      <c r="J33" s="1"/>
      <c r="K33" s="1"/>
      <c r="L33" s="1"/>
      <c r="M33" s="1"/>
      <c r="P33" s="49">
        <v>1000000</v>
      </c>
    </row>
    <row r="34" spans="9:17">
      <c r="J34" s="1"/>
      <c r="K34" s="1"/>
      <c r="L34" s="1"/>
      <c r="M34" s="1"/>
      <c r="N34" s="2"/>
      <c r="Q34" s="49">
        <f>SUM(Q30+P32+P33)-1600000</f>
        <v>5090000</v>
      </c>
    </row>
    <row r="35" spans="9:17">
      <c r="J35" s="1"/>
      <c r="K35" s="1"/>
      <c r="L35" s="1"/>
      <c r="M35" s="1"/>
      <c r="N35" s="2"/>
    </row>
    <row r="36" spans="9:17">
      <c r="J36" s="1"/>
      <c r="K36" s="1"/>
      <c r="L36" s="1"/>
      <c r="M36" s="1"/>
    </row>
    <row r="39" spans="9:17">
      <c r="J39" t="s">
        <v>7</v>
      </c>
    </row>
    <row r="42" spans="9:17">
      <c r="I42" t="s">
        <v>81</v>
      </c>
    </row>
    <row r="43" spans="9:17">
      <c r="I43" t="s">
        <v>81</v>
      </c>
    </row>
    <row r="44" spans="9:17">
      <c r="I44" t="s">
        <v>81</v>
      </c>
    </row>
    <row r="45" spans="9:17">
      <c r="I45" t="s">
        <v>81</v>
      </c>
      <c r="L45" s="6"/>
    </row>
    <row r="46" spans="9:17">
      <c r="I46" t="s">
        <v>81</v>
      </c>
    </row>
    <row r="47" spans="9:17">
      <c r="I47" t="s">
        <v>81</v>
      </c>
    </row>
    <row r="48" spans="9:17">
      <c r="I48" t="s">
        <v>81</v>
      </c>
    </row>
    <row r="49" spans="9:9">
      <c r="I49" t="s">
        <v>81</v>
      </c>
    </row>
    <row r="50" spans="9:9">
      <c r="I50" t="s">
        <v>81</v>
      </c>
    </row>
    <row r="51" spans="9:9">
      <c r="I51" t="s">
        <v>81</v>
      </c>
    </row>
    <row r="52" spans="9:9">
      <c r="I52" t="s">
        <v>81</v>
      </c>
    </row>
  </sheetData>
  <mergeCells count="4">
    <mergeCell ref="B2:H2"/>
    <mergeCell ref="J2:M2"/>
    <mergeCell ref="K16:M16"/>
    <mergeCell ref="O2:Q2"/>
  </mergeCells>
  <hyperlinks>
    <hyperlink ref="B22" r:id="rId1" xr:uid="{73A67959-5B72-4D07-B2BC-7D0E22BB45C5}"/>
  </hyperlinks>
  <pageMargins left="0.7" right="0.7" top="0.75" bottom="0.75" header="0.3" footer="0.3"/>
  <pageSetup orientation="portrait" r:id="rId2"/>
  <ignoredErrors>
    <ignoredError sqref="B20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32EE-8858-4FF5-801C-EEC7D253E4F5}">
  <dimension ref="B1:R81"/>
  <sheetViews>
    <sheetView zoomScale="90" zoomScaleNormal="90" workbookViewId="0">
      <selection activeCell="B16" sqref="B16:D16"/>
    </sheetView>
  </sheetViews>
  <sheetFormatPr defaultColWidth="8.77734375" defaultRowHeight="13.8"/>
  <cols>
    <col min="1" max="1" width="1.77734375" style="1" customWidth="1"/>
    <col min="2" max="2" width="10.109375" style="1" bestFit="1" customWidth="1"/>
    <col min="3" max="3" width="17.21875" style="1" customWidth="1"/>
    <col min="4" max="4" width="11.21875" style="1" customWidth="1"/>
    <col min="5" max="5" width="1.6640625" style="1" customWidth="1"/>
    <col min="6" max="6" width="11.21875" style="1" customWidth="1"/>
    <col min="7" max="7" width="21.33203125" style="1" customWidth="1"/>
    <col min="8" max="8" width="8.77734375" style="1"/>
    <col min="9" max="9" width="3.77734375" style="1" customWidth="1"/>
    <col min="10" max="10" width="13.21875" style="1" customWidth="1"/>
    <col min="11" max="11" width="9.77734375" style="1" customWidth="1"/>
    <col min="12" max="12" width="7.109375" style="1" customWidth="1"/>
    <col min="13" max="13" width="4.33203125" style="1" customWidth="1"/>
    <col min="14" max="14" width="15.21875" style="1" bestFit="1" customWidth="1"/>
    <col min="15" max="15" width="10.21875" style="1" bestFit="1" customWidth="1"/>
    <col min="16" max="16" width="2.6640625" style="1" customWidth="1"/>
    <col min="17" max="18" width="9.44140625" style="1" bestFit="1" customWidth="1"/>
    <col min="19" max="16384" width="8.77734375" style="1"/>
  </cols>
  <sheetData>
    <row r="1" spans="2:18" ht="20.55" customHeight="1">
      <c r="B1" s="167" t="s">
        <v>244</v>
      </c>
      <c r="C1" s="168">
        <f>D20+H81</f>
        <v>12248577</v>
      </c>
    </row>
    <row r="2" spans="2:18">
      <c r="B2" s="99" t="s">
        <v>178</v>
      </c>
      <c r="F2" s="99" t="s">
        <v>179</v>
      </c>
      <c r="J2" s="99" t="s">
        <v>175</v>
      </c>
    </row>
    <row r="3" spans="2:18">
      <c r="B3" s="90" t="s">
        <v>90</v>
      </c>
      <c r="C3" s="90" t="s">
        <v>136</v>
      </c>
      <c r="D3" s="90" t="s">
        <v>87</v>
      </c>
      <c r="F3" s="90" t="s">
        <v>90</v>
      </c>
      <c r="G3" s="90" t="s">
        <v>124</v>
      </c>
      <c r="H3" s="90" t="s">
        <v>87</v>
      </c>
      <c r="J3" s="90" t="s">
        <v>90</v>
      </c>
      <c r="K3" s="90" t="s">
        <v>87</v>
      </c>
      <c r="L3" s="90" t="s">
        <v>176</v>
      </c>
      <c r="N3" s="1" t="s">
        <v>127</v>
      </c>
      <c r="O3" s="164">
        <v>12000000</v>
      </c>
      <c r="P3" s="94"/>
      <c r="Q3" s="1" t="s">
        <v>133</v>
      </c>
      <c r="R3" s="94">
        <v>6600000</v>
      </c>
    </row>
    <row r="4" spans="2:18">
      <c r="B4" s="91">
        <v>45551</v>
      </c>
      <c r="C4" s="92" t="s">
        <v>122</v>
      </c>
      <c r="D4" s="93">
        <v>5000</v>
      </c>
      <c r="F4" s="91">
        <v>45560</v>
      </c>
      <c r="G4" s="92" t="s">
        <v>123</v>
      </c>
      <c r="H4" s="93">
        <v>20000</v>
      </c>
      <c r="J4" s="91">
        <v>45588</v>
      </c>
      <c r="K4" s="93">
        <v>1600000</v>
      </c>
      <c r="L4" s="92" t="s">
        <v>167</v>
      </c>
      <c r="N4" s="1" t="s">
        <v>126</v>
      </c>
      <c r="O4" s="164">
        <v>120000</v>
      </c>
      <c r="Q4" s="1" t="s">
        <v>95</v>
      </c>
      <c r="R4" s="94">
        <v>1000000</v>
      </c>
    </row>
    <row r="5" spans="2:18">
      <c r="B5" s="91">
        <v>45582</v>
      </c>
      <c r="C5" s="92" t="s">
        <v>137</v>
      </c>
      <c r="D5" s="93">
        <v>720000</v>
      </c>
      <c r="F5" s="91">
        <v>45579</v>
      </c>
      <c r="G5" s="92" t="s">
        <v>135</v>
      </c>
      <c r="H5" s="93">
        <v>10500</v>
      </c>
      <c r="J5" s="91">
        <v>45595</v>
      </c>
      <c r="K5" s="93">
        <v>2000000</v>
      </c>
      <c r="L5" s="92" t="s">
        <v>182</v>
      </c>
      <c r="N5" s="1" t="s">
        <v>125</v>
      </c>
      <c r="O5" s="164">
        <v>199970</v>
      </c>
      <c r="Q5" s="1" t="s">
        <v>170</v>
      </c>
      <c r="R5" s="94">
        <v>5940000</v>
      </c>
    </row>
    <row r="6" spans="2:18">
      <c r="B6" s="91">
        <v>45586</v>
      </c>
      <c r="C6" s="92" t="s">
        <v>161</v>
      </c>
      <c r="D6" s="93">
        <v>380000</v>
      </c>
      <c r="F6" s="91">
        <v>45586</v>
      </c>
      <c r="G6" s="92" t="s">
        <v>160</v>
      </c>
      <c r="H6" s="93">
        <v>199970</v>
      </c>
      <c r="J6" s="91">
        <v>45666</v>
      </c>
      <c r="K6" s="93">
        <v>1000000</v>
      </c>
      <c r="L6" s="92" t="s">
        <v>182</v>
      </c>
      <c r="N6" s="1" t="s">
        <v>228</v>
      </c>
      <c r="O6" s="94">
        <v>780000</v>
      </c>
    </row>
    <row r="7" spans="2:18">
      <c r="B7" s="91">
        <v>45587</v>
      </c>
      <c r="C7" s="92" t="s">
        <v>171</v>
      </c>
      <c r="D7" s="93">
        <v>780000</v>
      </c>
      <c r="F7" s="91">
        <v>45588</v>
      </c>
      <c r="G7" s="92" t="s">
        <v>126</v>
      </c>
      <c r="H7" s="93">
        <v>60000</v>
      </c>
      <c r="J7" s="91">
        <v>45777</v>
      </c>
      <c r="K7" s="93">
        <v>340000</v>
      </c>
      <c r="L7" s="92" t="s">
        <v>182</v>
      </c>
      <c r="N7" s="1" t="s">
        <v>129</v>
      </c>
      <c r="O7" s="165">
        <v>150000</v>
      </c>
      <c r="R7" s="94">
        <f>SUM(R3:R6)</f>
        <v>13540000</v>
      </c>
    </row>
    <row r="8" spans="2:18">
      <c r="B8" s="91">
        <v>45587</v>
      </c>
      <c r="C8" s="92" t="s">
        <v>164</v>
      </c>
      <c r="D8" s="93">
        <v>400000</v>
      </c>
      <c r="F8" s="91">
        <v>45594</v>
      </c>
      <c r="G8" s="92" t="s">
        <v>177</v>
      </c>
      <c r="H8" s="93">
        <v>41250</v>
      </c>
      <c r="J8" s="92"/>
      <c r="K8" s="93"/>
      <c r="L8" s="92"/>
      <c r="N8" s="1" t="s">
        <v>130</v>
      </c>
      <c r="O8" s="165">
        <v>25000</v>
      </c>
    </row>
    <row r="9" spans="2:18">
      <c r="B9" s="91">
        <v>45588</v>
      </c>
      <c r="C9" s="92" t="s">
        <v>165</v>
      </c>
      <c r="D9" s="93">
        <v>700000</v>
      </c>
      <c r="F9" s="91">
        <v>45617</v>
      </c>
      <c r="G9" s="92" t="s">
        <v>194</v>
      </c>
      <c r="H9" s="93">
        <v>6000</v>
      </c>
      <c r="J9" s="92"/>
      <c r="K9" s="93"/>
      <c r="L9" s="92"/>
      <c r="N9" s="1" t="s">
        <v>131</v>
      </c>
      <c r="O9" s="94">
        <v>35000</v>
      </c>
    </row>
    <row r="10" spans="2:18">
      <c r="B10" s="91">
        <v>45588</v>
      </c>
      <c r="C10" s="92" t="s">
        <v>164</v>
      </c>
      <c r="D10" s="93">
        <v>300000</v>
      </c>
      <c r="F10" s="91">
        <v>45619</v>
      </c>
      <c r="G10" s="92" t="s">
        <v>126</v>
      </c>
      <c r="H10" s="93">
        <v>60000</v>
      </c>
      <c r="J10" s="92"/>
      <c r="K10" s="93"/>
      <c r="L10" s="92"/>
      <c r="N10" s="1" t="s">
        <v>132</v>
      </c>
      <c r="O10" s="165">
        <v>50000</v>
      </c>
      <c r="P10" s="94"/>
    </row>
    <row r="11" spans="2:18">
      <c r="B11" s="91">
        <v>45588</v>
      </c>
      <c r="C11" s="92" t="s">
        <v>26</v>
      </c>
      <c r="D11" s="93">
        <v>1615000</v>
      </c>
      <c r="F11" s="91">
        <v>45634</v>
      </c>
      <c r="G11" s="92" t="s">
        <v>191</v>
      </c>
      <c r="H11" s="93">
        <v>15000</v>
      </c>
      <c r="J11" s="95" t="s">
        <v>11</v>
      </c>
      <c r="K11" s="96">
        <f>SUM(K4:K10)</f>
        <v>4940000</v>
      </c>
      <c r="L11" s="96"/>
      <c r="N11" s="1" t="s">
        <v>128</v>
      </c>
      <c r="O11" s="94">
        <v>200000</v>
      </c>
    </row>
    <row r="12" spans="2:18">
      <c r="B12" s="91">
        <v>45588</v>
      </c>
      <c r="C12" s="92" t="s">
        <v>149</v>
      </c>
      <c r="D12" s="93">
        <v>1600000</v>
      </c>
      <c r="F12" s="91">
        <v>45636</v>
      </c>
      <c r="G12" s="92" t="s">
        <v>123</v>
      </c>
      <c r="H12" s="93">
        <v>60000</v>
      </c>
      <c r="N12" s="1" t="s">
        <v>134</v>
      </c>
      <c r="O12" s="94">
        <v>10000</v>
      </c>
    </row>
    <row r="13" spans="2:18">
      <c r="B13" s="91">
        <v>45609</v>
      </c>
      <c r="C13" s="92" t="s">
        <v>184</v>
      </c>
      <c r="D13" s="93">
        <v>800000</v>
      </c>
      <c r="F13" s="91">
        <v>45639</v>
      </c>
      <c r="G13" s="92" t="s">
        <v>193</v>
      </c>
      <c r="H13" s="93">
        <v>1800</v>
      </c>
      <c r="N13" s="1" t="s">
        <v>190</v>
      </c>
      <c r="O13" s="94">
        <v>100000</v>
      </c>
    </row>
    <row r="14" spans="2:18">
      <c r="B14" s="91">
        <v>45610</v>
      </c>
      <c r="C14" s="92" t="s">
        <v>26</v>
      </c>
      <c r="D14" s="93">
        <v>1000000</v>
      </c>
      <c r="F14" s="91">
        <v>45660</v>
      </c>
      <c r="G14" s="92" t="s">
        <v>197</v>
      </c>
      <c r="H14" s="93">
        <v>5000</v>
      </c>
      <c r="J14" s="1" t="s">
        <v>206</v>
      </c>
      <c r="K14" s="94">
        <f>H14+H18+H19+H20+H24+H26+H28+H33+H37+H40+H46+H51+H54</f>
        <v>58000</v>
      </c>
      <c r="L14" s="94">
        <f>K14+H27+H17+H30+H21+H38</f>
        <v>79500</v>
      </c>
    </row>
    <row r="15" spans="2:18">
      <c r="B15" s="91">
        <v>45694</v>
      </c>
      <c r="C15" s="92" t="s">
        <v>26</v>
      </c>
      <c r="D15" s="93">
        <v>1400000</v>
      </c>
      <c r="F15" s="91">
        <v>45666</v>
      </c>
      <c r="G15" s="92" t="s">
        <v>198</v>
      </c>
      <c r="H15" s="93">
        <v>35000</v>
      </c>
      <c r="J15" s="1" t="s">
        <v>245</v>
      </c>
      <c r="K15" s="94">
        <f>H29+H31+H32+H35</f>
        <v>43000</v>
      </c>
      <c r="O15" s="94">
        <f>SUM(O3:O14)</f>
        <v>13669970</v>
      </c>
    </row>
    <row r="16" spans="2:18">
      <c r="B16" s="91">
        <v>45810</v>
      </c>
      <c r="C16" s="92" t="s">
        <v>26</v>
      </c>
      <c r="D16" s="93">
        <v>800000</v>
      </c>
      <c r="F16" s="91">
        <v>45674</v>
      </c>
      <c r="G16" s="92" t="s">
        <v>205</v>
      </c>
      <c r="H16" s="93">
        <v>2000</v>
      </c>
      <c r="O16" s="94">
        <f>SUM(O6:O13) - O7 - O8 - O10 - K18-O11-O13</f>
        <v>70000</v>
      </c>
    </row>
    <row r="17" spans="2:15">
      <c r="B17" s="92"/>
      <c r="C17" s="92"/>
      <c r="D17" s="93"/>
      <c r="F17" s="91">
        <v>45674</v>
      </c>
      <c r="G17" s="92" t="s">
        <v>203</v>
      </c>
      <c r="H17" s="93">
        <v>6000</v>
      </c>
      <c r="J17" s="1" t="s">
        <v>224</v>
      </c>
      <c r="K17" s="94">
        <f>K14+K15+H36+H38+H41+H42+H43+H44+H30+H27+H23+SUM(H11:H13)+SUM(H15:H17)+H21+H22+H39</f>
        <v>380430</v>
      </c>
      <c r="O17" s="94">
        <f>(O6-K18)</f>
        <v>25000</v>
      </c>
    </row>
    <row r="18" spans="2:15">
      <c r="B18" s="92"/>
      <c r="C18" s="92"/>
      <c r="D18" s="93"/>
      <c r="F18" s="91">
        <v>45680</v>
      </c>
      <c r="G18" s="92" t="s">
        <v>197</v>
      </c>
      <c r="H18" s="93">
        <v>2000</v>
      </c>
      <c r="J18" s="1" t="s">
        <v>218</v>
      </c>
      <c r="K18" s="94">
        <f>H34+H45+H47+H53+H58+H60+H63+H72+H73+H74+H75+H76</f>
        <v>755000</v>
      </c>
    </row>
    <row r="19" spans="2:15">
      <c r="B19" s="92"/>
      <c r="C19" s="92"/>
      <c r="D19" s="93"/>
      <c r="F19" s="91">
        <v>45682</v>
      </c>
      <c r="G19" s="92" t="s">
        <v>197</v>
      </c>
      <c r="H19" s="93">
        <v>5000</v>
      </c>
      <c r="J19" s="1" t="s">
        <v>227</v>
      </c>
      <c r="K19" s="94">
        <f>H52+H62</f>
        <v>33000</v>
      </c>
      <c r="N19" s="1" t="s">
        <v>172</v>
      </c>
      <c r="O19" s="94">
        <f>200000+190000+320000+20000</f>
        <v>730000</v>
      </c>
    </row>
    <row r="20" spans="2:15">
      <c r="B20" s="95"/>
      <c r="C20" s="95" t="s">
        <v>11</v>
      </c>
      <c r="D20" s="96">
        <f>SUM(D4:D19)</f>
        <v>10500000</v>
      </c>
      <c r="F20" s="91">
        <v>45691</v>
      </c>
      <c r="G20" s="92" t="s">
        <v>197</v>
      </c>
      <c r="H20" s="93">
        <v>5000</v>
      </c>
      <c r="N20" s="1" t="s">
        <v>173</v>
      </c>
      <c r="O20" s="94">
        <f>R5-K11</f>
        <v>1000000</v>
      </c>
    </row>
    <row r="21" spans="2:15">
      <c r="F21" s="91">
        <v>45691</v>
      </c>
      <c r="G21" s="92" t="s">
        <v>205</v>
      </c>
      <c r="H21" s="93">
        <v>4500</v>
      </c>
    </row>
    <row r="22" spans="2:15">
      <c r="C22" s="1" t="s">
        <v>138</v>
      </c>
      <c r="D22" s="94">
        <v>12000000</v>
      </c>
      <c r="F22" s="91">
        <v>45694</v>
      </c>
      <c r="G22" s="92" t="s">
        <v>207</v>
      </c>
      <c r="H22" s="93">
        <v>19000</v>
      </c>
      <c r="K22" s="94"/>
      <c r="N22" s="1" t="s">
        <v>174</v>
      </c>
      <c r="O22" s="94">
        <f xml:space="preserve"> (O20 + O19) - D24 -O17</f>
        <v>205000</v>
      </c>
    </row>
    <row r="23" spans="2:15">
      <c r="D23" s="94"/>
      <c r="F23" s="91">
        <v>45701</v>
      </c>
      <c r="G23" s="92" t="s">
        <v>210</v>
      </c>
      <c r="H23" s="93">
        <f>9500+1700</f>
        <v>11200</v>
      </c>
      <c r="K23" s="94"/>
      <c r="O23" s="94"/>
    </row>
    <row r="24" spans="2:15">
      <c r="C24" s="1" t="s">
        <v>36</v>
      </c>
      <c r="D24" s="94">
        <f>D22-D20-D23</f>
        <v>1500000</v>
      </c>
      <c r="F24" s="91">
        <v>45703</v>
      </c>
      <c r="G24" s="92" t="s">
        <v>197</v>
      </c>
      <c r="H24" s="93">
        <v>6000</v>
      </c>
      <c r="K24" s="94"/>
    </row>
    <row r="25" spans="2:15">
      <c r="F25" s="91">
        <v>45704</v>
      </c>
      <c r="G25" s="92" t="s">
        <v>211</v>
      </c>
      <c r="H25" s="93">
        <v>1700</v>
      </c>
      <c r="K25" s="94"/>
    </row>
    <row r="26" spans="2:15">
      <c r="D26" s="94"/>
      <c r="F26" s="91">
        <v>45712</v>
      </c>
      <c r="G26" s="92" t="s">
        <v>197</v>
      </c>
      <c r="H26" s="93">
        <v>5000</v>
      </c>
      <c r="K26" s="94"/>
    </row>
    <row r="27" spans="2:15">
      <c r="F27" s="91">
        <v>38415</v>
      </c>
      <c r="G27" s="92" t="s">
        <v>203</v>
      </c>
      <c r="H27" s="93">
        <v>5000</v>
      </c>
      <c r="K27" s="94"/>
    </row>
    <row r="28" spans="2:15">
      <c r="C28" s="1" t="s">
        <v>167</v>
      </c>
      <c r="D28" s="94">
        <v>1980000</v>
      </c>
      <c r="F28" s="91">
        <v>38415</v>
      </c>
      <c r="G28" s="92" t="s">
        <v>197</v>
      </c>
      <c r="H28" s="93">
        <v>2000</v>
      </c>
      <c r="K28" s="94"/>
    </row>
    <row r="29" spans="2:15">
      <c r="F29" s="91">
        <v>45727</v>
      </c>
      <c r="G29" s="92" t="s">
        <v>212</v>
      </c>
      <c r="H29" s="93">
        <v>5000</v>
      </c>
      <c r="K29" s="94"/>
    </row>
    <row r="30" spans="2:15">
      <c r="C30" s="1" t="s">
        <v>162</v>
      </c>
      <c r="F30" s="91">
        <v>45734</v>
      </c>
      <c r="G30" s="92" t="s">
        <v>203</v>
      </c>
      <c r="H30" s="93">
        <v>5000</v>
      </c>
      <c r="K30" s="94"/>
      <c r="L30" s="94"/>
    </row>
    <row r="31" spans="2:15">
      <c r="C31" s="1" t="s">
        <v>34</v>
      </c>
      <c r="D31" s="94">
        <v>800000</v>
      </c>
      <c r="F31" s="91">
        <v>45737</v>
      </c>
      <c r="G31" s="92" t="s">
        <v>212</v>
      </c>
      <c r="H31" s="93">
        <v>10000</v>
      </c>
      <c r="K31" s="94"/>
      <c r="L31" s="94"/>
    </row>
    <row r="32" spans="2:15">
      <c r="C32" s="1" t="s">
        <v>33</v>
      </c>
      <c r="D32" s="94">
        <v>800000</v>
      </c>
      <c r="F32" s="91">
        <v>45742</v>
      </c>
      <c r="G32" s="92" t="s">
        <v>212</v>
      </c>
      <c r="H32" s="93">
        <v>10000</v>
      </c>
    </row>
    <row r="33" spans="3:8">
      <c r="D33" s="94">
        <v>15000</v>
      </c>
      <c r="F33" s="91">
        <v>45742</v>
      </c>
      <c r="G33" s="92" t="s">
        <v>197</v>
      </c>
      <c r="H33" s="93">
        <v>5000</v>
      </c>
    </row>
    <row r="34" spans="3:8">
      <c r="C34" s="1" t="s">
        <v>163</v>
      </c>
      <c r="F34" s="91">
        <v>45750</v>
      </c>
      <c r="G34" s="92" t="s">
        <v>218</v>
      </c>
      <c r="H34" s="93">
        <v>200000</v>
      </c>
    </row>
    <row r="35" spans="3:8">
      <c r="C35" s="1" t="s">
        <v>166</v>
      </c>
      <c r="D35" s="94">
        <v>720000</v>
      </c>
      <c r="F35" s="91">
        <v>45752</v>
      </c>
      <c r="G35" s="92" t="s">
        <v>212</v>
      </c>
      <c r="H35" s="93">
        <v>18000</v>
      </c>
    </row>
    <row r="36" spans="3:8">
      <c r="C36" s="1" t="s">
        <v>164</v>
      </c>
      <c r="D36" s="94">
        <v>700000</v>
      </c>
      <c r="F36" s="91">
        <v>45752</v>
      </c>
      <c r="G36" s="92" t="s">
        <v>219</v>
      </c>
      <c r="H36" s="93">
        <v>38000</v>
      </c>
    </row>
    <row r="37" spans="3:8">
      <c r="C37" s="1" t="s">
        <v>171</v>
      </c>
      <c r="D37" s="94">
        <v>780000</v>
      </c>
      <c r="F37" s="91">
        <v>45391</v>
      </c>
      <c r="G37" s="92" t="s">
        <v>197</v>
      </c>
      <c r="H37" s="93">
        <v>5000</v>
      </c>
    </row>
    <row r="38" spans="3:8">
      <c r="C38" s="1" t="s">
        <v>165</v>
      </c>
      <c r="D38" s="94">
        <v>700000</v>
      </c>
      <c r="F38" s="91">
        <v>45756</v>
      </c>
      <c r="G38" s="92" t="s">
        <v>205</v>
      </c>
      <c r="H38" s="93">
        <v>1000</v>
      </c>
    </row>
    <row r="39" spans="3:8">
      <c r="F39" s="91">
        <v>45756</v>
      </c>
      <c r="G39" s="92" t="s">
        <v>210</v>
      </c>
      <c r="H39" s="93">
        <v>10000</v>
      </c>
    </row>
    <row r="40" spans="3:8">
      <c r="D40" s="94"/>
      <c r="F40" s="91">
        <v>45757</v>
      </c>
      <c r="G40" s="92" t="s">
        <v>197</v>
      </c>
      <c r="H40" s="93">
        <v>1000</v>
      </c>
    </row>
    <row r="41" spans="3:8">
      <c r="D41" s="94">
        <f>SUM(D28:D38)</f>
        <v>6495000</v>
      </c>
      <c r="F41" s="91">
        <v>45758</v>
      </c>
      <c r="G41" s="92" t="s">
        <v>220</v>
      </c>
      <c r="H41" s="93">
        <v>59500</v>
      </c>
    </row>
    <row r="42" spans="3:8">
      <c r="D42" s="94"/>
      <c r="F42" s="91">
        <v>45759</v>
      </c>
      <c r="G42" s="92" t="s">
        <v>221</v>
      </c>
      <c r="H42" s="93">
        <v>5200</v>
      </c>
    </row>
    <row r="43" spans="3:8">
      <c r="F43" s="91">
        <v>45759</v>
      </c>
      <c r="G43" s="92" t="s">
        <v>222</v>
      </c>
      <c r="H43" s="93">
        <v>800</v>
      </c>
    </row>
    <row r="44" spans="3:8">
      <c r="F44" s="91">
        <v>45759</v>
      </c>
      <c r="G44" s="92" t="s">
        <v>223</v>
      </c>
      <c r="H44" s="93">
        <v>430</v>
      </c>
    </row>
    <row r="45" spans="3:8">
      <c r="F45" s="91">
        <v>45759</v>
      </c>
      <c r="G45" s="92" t="s">
        <v>218</v>
      </c>
      <c r="H45" s="93">
        <v>50000</v>
      </c>
    </row>
    <row r="46" spans="3:8">
      <c r="F46" s="91">
        <v>45886</v>
      </c>
      <c r="G46" s="92" t="s">
        <v>197</v>
      </c>
      <c r="H46" s="93">
        <v>8000</v>
      </c>
    </row>
    <row r="47" spans="3:8">
      <c r="F47" s="91">
        <v>45765</v>
      </c>
      <c r="G47" s="92" t="s">
        <v>218</v>
      </c>
      <c r="H47" s="93">
        <v>100000</v>
      </c>
    </row>
    <row r="48" spans="3:8">
      <c r="F48" s="91">
        <v>45765</v>
      </c>
      <c r="G48" s="92" t="s">
        <v>225</v>
      </c>
      <c r="H48" s="93">
        <v>37500</v>
      </c>
    </row>
    <row r="49" spans="6:8">
      <c r="F49" s="91">
        <v>45769</v>
      </c>
      <c r="G49" s="92" t="s">
        <v>226</v>
      </c>
      <c r="H49" s="93">
        <v>40000</v>
      </c>
    </row>
    <row r="50" spans="6:8">
      <c r="F50" s="91">
        <v>45769</v>
      </c>
      <c r="G50" s="92" t="s">
        <v>232</v>
      </c>
      <c r="H50" s="93">
        <v>1949</v>
      </c>
    </row>
    <row r="51" spans="6:8">
      <c r="F51" s="91">
        <v>45770</v>
      </c>
      <c r="G51" s="92" t="s">
        <v>197</v>
      </c>
      <c r="H51" s="93">
        <v>2000</v>
      </c>
    </row>
    <row r="52" spans="6:8">
      <c r="F52" s="91">
        <v>45770</v>
      </c>
      <c r="G52" s="92" t="s">
        <v>227</v>
      </c>
      <c r="H52" s="93">
        <v>20000</v>
      </c>
    </row>
    <row r="53" spans="6:8">
      <c r="F53" s="91">
        <v>45774</v>
      </c>
      <c r="G53" s="92" t="s">
        <v>218</v>
      </c>
      <c r="H53" s="93">
        <v>50000</v>
      </c>
    </row>
    <row r="54" spans="6:8">
      <c r="F54" s="91">
        <v>45774</v>
      </c>
      <c r="G54" s="92" t="s">
        <v>197</v>
      </c>
      <c r="H54" s="93">
        <v>7000</v>
      </c>
    </row>
    <row r="55" spans="6:8">
      <c r="F55" s="91">
        <v>45775</v>
      </c>
      <c r="G55" s="92" t="s">
        <v>231</v>
      </c>
      <c r="H55" s="93">
        <v>450</v>
      </c>
    </row>
    <row r="56" spans="6:8">
      <c r="F56" s="91">
        <v>45775</v>
      </c>
      <c r="G56" s="92" t="s">
        <v>230</v>
      </c>
      <c r="H56" s="93">
        <v>3200</v>
      </c>
    </row>
    <row r="57" spans="6:8">
      <c r="F57" s="91">
        <v>45776</v>
      </c>
      <c r="G57" s="92" t="s">
        <v>229</v>
      </c>
      <c r="H57" s="93">
        <v>5000</v>
      </c>
    </row>
    <row r="58" spans="6:8">
      <c r="F58" s="91">
        <v>45776</v>
      </c>
      <c r="G58" s="92" t="s">
        <v>218</v>
      </c>
      <c r="H58" s="93">
        <v>50000</v>
      </c>
    </row>
    <row r="59" spans="6:8">
      <c r="F59" s="91">
        <v>45776</v>
      </c>
      <c r="G59" s="92" t="s">
        <v>233</v>
      </c>
      <c r="H59" s="93">
        <v>21772</v>
      </c>
    </row>
    <row r="60" spans="6:8">
      <c r="F60" s="91">
        <v>45779</v>
      </c>
      <c r="G60" s="92" t="s">
        <v>218</v>
      </c>
      <c r="H60" s="93">
        <v>50000</v>
      </c>
    </row>
    <row r="61" spans="6:8">
      <c r="F61" s="91">
        <v>45779</v>
      </c>
      <c r="G61" s="92" t="s">
        <v>240</v>
      </c>
      <c r="H61" s="93">
        <v>3400</v>
      </c>
    </row>
    <row r="62" spans="6:8">
      <c r="F62" s="91">
        <v>45780</v>
      </c>
      <c r="G62" s="92" t="s">
        <v>227</v>
      </c>
      <c r="H62" s="93">
        <f>12000+1000</f>
        <v>13000</v>
      </c>
    </row>
    <row r="63" spans="6:8">
      <c r="F63" s="91">
        <v>45780</v>
      </c>
      <c r="G63" s="92" t="s">
        <v>218</v>
      </c>
      <c r="H63" s="93">
        <v>20000</v>
      </c>
    </row>
    <row r="64" spans="6:8">
      <c r="F64" s="91">
        <v>45780</v>
      </c>
      <c r="G64" s="92" t="s">
        <v>234</v>
      </c>
      <c r="H64" s="93">
        <v>5250</v>
      </c>
    </row>
    <row r="65" spans="6:8">
      <c r="F65" s="91">
        <v>45780</v>
      </c>
      <c r="G65" s="92" t="s">
        <v>238</v>
      </c>
      <c r="H65" s="93">
        <v>4400</v>
      </c>
    </row>
    <row r="66" spans="6:8">
      <c r="F66" s="91">
        <v>45780</v>
      </c>
      <c r="G66" s="92" t="s">
        <v>239</v>
      </c>
      <c r="H66" s="93"/>
    </row>
    <row r="67" spans="6:8">
      <c r="F67" s="91">
        <v>45780</v>
      </c>
      <c r="G67" s="92" t="s">
        <v>237</v>
      </c>
      <c r="H67" s="93">
        <v>4756</v>
      </c>
    </row>
    <row r="68" spans="6:8">
      <c r="F68" s="91">
        <v>45781</v>
      </c>
      <c r="G68" s="92" t="s">
        <v>229</v>
      </c>
      <c r="H68" s="93">
        <v>8000</v>
      </c>
    </row>
    <row r="69" spans="6:8">
      <c r="F69" s="91">
        <v>45781</v>
      </c>
      <c r="G69" s="92" t="s">
        <v>236</v>
      </c>
      <c r="H69" s="93">
        <v>32000</v>
      </c>
    </row>
    <row r="70" spans="6:8">
      <c r="F70" s="91">
        <v>45782</v>
      </c>
      <c r="G70" s="92" t="s">
        <v>235</v>
      </c>
      <c r="H70" s="93">
        <v>5380</v>
      </c>
    </row>
    <row r="71" spans="6:8">
      <c r="F71" s="91">
        <v>45783</v>
      </c>
      <c r="G71" s="92" t="s">
        <v>241</v>
      </c>
      <c r="H71" s="93">
        <v>7670</v>
      </c>
    </row>
    <row r="72" spans="6:8">
      <c r="F72" s="91">
        <v>45784</v>
      </c>
      <c r="G72" s="92" t="s">
        <v>218</v>
      </c>
      <c r="H72" s="93">
        <v>50000</v>
      </c>
    </row>
    <row r="73" spans="6:8">
      <c r="F73" s="91">
        <v>45788</v>
      </c>
      <c r="G73" s="92" t="s">
        <v>218</v>
      </c>
      <c r="H73" s="93">
        <v>30000</v>
      </c>
    </row>
    <row r="74" spans="6:8">
      <c r="F74" s="91">
        <v>45792</v>
      </c>
      <c r="G74" s="92" t="s">
        <v>218</v>
      </c>
      <c r="H74" s="93">
        <v>75000</v>
      </c>
    </row>
    <row r="75" spans="6:8">
      <c r="F75" s="91">
        <v>45798</v>
      </c>
      <c r="G75" s="92" t="s">
        <v>218</v>
      </c>
      <c r="H75" s="93">
        <v>50000</v>
      </c>
    </row>
    <row r="76" spans="6:8">
      <c r="F76" s="91">
        <v>45808</v>
      </c>
      <c r="G76" s="92" t="s">
        <v>218</v>
      </c>
      <c r="H76" s="93">
        <v>30000</v>
      </c>
    </row>
    <row r="77" spans="6:8">
      <c r="F77" s="91"/>
      <c r="G77" s="92"/>
      <c r="H77" s="93"/>
    </row>
    <row r="78" spans="6:8">
      <c r="F78" s="91"/>
      <c r="G78" s="92"/>
      <c r="H78" s="93"/>
    </row>
    <row r="79" spans="6:8">
      <c r="F79" s="91"/>
      <c r="G79" s="92"/>
      <c r="H79" s="93"/>
    </row>
    <row r="80" spans="6:8">
      <c r="F80" s="92"/>
      <c r="G80" s="92"/>
      <c r="H80" s="93"/>
    </row>
    <row r="81" spans="6:8">
      <c r="F81" s="97"/>
      <c r="G81" s="98" t="s">
        <v>11</v>
      </c>
      <c r="H81" s="100">
        <f>SUM(H4:H80)</f>
        <v>1748577</v>
      </c>
    </row>
  </sheetData>
  <pageMargins left="0.7" right="0.7" top="0.75" bottom="0.75" header="0.3" footer="0.3"/>
  <ignoredErrors>
    <ignoredError sqref="O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 25</vt:lpstr>
      <vt:lpstr>Feb 25</vt:lpstr>
      <vt:lpstr>Mar 25</vt:lpstr>
      <vt:lpstr>Apr 25</vt:lpstr>
      <vt:lpstr>May 25</vt:lpstr>
      <vt:lpstr>June 25</vt:lpstr>
      <vt:lpstr>July 25</vt:lpstr>
      <vt:lpstr>Aug 25</vt:lpstr>
      <vt:lpstr>Nov 25</vt:lpstr>
      <vt:lpstr>Dec 25</vt:lpstr>
      <vt:lpstr>Jan 26</vt:lpstr>
      <vt:lpstr>Acct Details</vt:lpstr>
      <vt:lpstr>LoanDetails</vt:lpstr>
      <vt:lpstr>Cbe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 FOODS</dc:creator>
  <cp:lastModifiedBy>Anitha Raj</cp:lastModifiedBy>
  <cp:lastPrinted>2024-03-26T10:05:38Z</cp:lastPrinted>
  <dcterms:created xsi:type="dcterms:W3CDTF">2020-01-04T13:49:00Z</dcterms:created>
  <dcterms:modified xsi:type="dcterms:W3CDTF">2025-12-15T12:04:00Z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85A948FC3F784977ADF1BCDC0FA4C6B4</vt:lpwstr>
  </property>
  <property fmtid="{D5CDD505-2E9C-101B-9397-08002B2CF9AE}" pid="3" name="KSOProductBuildVer">
    <vt:lpwstr>1033-12.2.0.13431</vt:lpwstr>
  </property>
  <property fmtid="{D5CDD505-2E9C-101B-9397-08002B2CF9AE}" pid="4" name="KSOReadingLayout">
    <vt:bool>false</vt:bool>
  </property>
</Properties>
</file>